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E9368E3-EF22-42E2-ABB2-639F8893A8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" i="1" l="1"/>
  <c r="G54" i="1"/>
  <c r="G53" i="1"/>
  <c r="G52" i="1"/>
  <c r="G51" i="1"/>
  <c r="G56" i="1" s="1"/>
  <c r="G50" i="1"/>
  <c r="F55" i="1"/>
  <c r="F54" i="1"/>
  <c r="F53" i="1"/>
  <c r="F52" i="1"/>
  <c r="F51" i="1"/>
  <c r="F50" i="1"/>
  <c r="F56" i="1" s="1"/>
</calcChain>
</file>

<file path=xl/sharedStrings.xml><?xml version="1.0" encoding="utf-8"?>
<sst xmlns="http://schemas.openxmlformats.org/spreadsheetml/2006/main" count="270" uniqueCount="132">
  <si>
    <t>Шкала оценки качественных характеристик:</t>
  </si>
  <si>
    <t>Оценка</t>
  </si>
  <si>
    <t>Значение</t>
  </si>
  <si>
    <t>Описание</t>
  </si>
  <si>
    <t>Отлично</t>
  </si>
  <si>
    <t>Характеристика полностью соответствует требованиям</t>
  </si>
  <si>
    <t>Хорошо</t>
  </si>
  <si>
    <t>Характеристика соответствует требованиям с незначительными замечаниями</t>
  </si>
  <si>
    <t>Удовлетворительно</t>
  </si>
  <si>
    <t>Характеристика соответствует требованиям с замечаниями</t>
  </si>
  <si>
    <t>Неудовлетворительно</t>
  </si>
  <si>
    <t>Характеристика частично соответствует требованиям</t>
  </si>
  <si>
    <t>Плохо</t>
  </si>
  <si>
    <t>Характеристика не соответствует требованиям</t>
  </si>
  <si>
    <t>5</t>
  </si>
  <si>
    <t>4</t>
  </si>
  <si>
    <t>3</t>
  </si>
  <si>
    <t>2</t>
  </si>
  <si>
    <t>1</t>
  </si>
  <si>
    <t>Подхарактеристика</t>
  </si>
  <si>
    <t>Содержание требований</t>
  </si>
  <si>
    <t>Мера</t>
  </si>
  <si>
    <t>Notepad++</t>
  </si>
  <si>
    <t>Блокнот Windows</t>
  </si>
  <si>
    <t/>
  </si>
  <si>
    <t>Поведение во времени</t>
  </si>
  <si>
    <t>Время запуска приложения</t>
  </si>
  <si>
    <t>Секунды</t>
  </si>
  <si>
    <t>2.0</t>
  </si>
  <si>
    <t>0.5</t>
  </si>
  <si>
    <t>Время открытия файла (10 МБ)</t>
  </si>
  <si>
    <t>1.5</t>
  </si>
  <si>
    <t>3.0</t>
  </si>
  <si>
    <t>Время поиска текста (10000 вхождений)</t>
  </si>
  <si>
    <t>0.8</t>
  </si>
  <si>
    <t>2.5</t>
  </si>
  <si>
    <t>Использование ресурсов</t>
  </si>
  <si>
    <t>Потребление оперативной памяти</t>
  </si>
  <si>
    <t>МБ</t>
  </si>
  <si>
    <t>45</t>
  </si>
  <si>
    <t>20</t>
  </si>
  <si>
    <t>Загрузка ЦП при работе</t>
  </si>
  <si>
    <t>%</t>
  </si>
  <si>
    <t>2-5</t>
  </si>
  <si>
    <t>&lt;1</t>
  </si>
  <si>
    <t>Зрелость</t>
  </si>
  <si>
    <t>Частота сбоев при интенсивной работе</t>
  </si>
  <si>
    <t>Сбоев/100 час</t>
  </si>
  <si>
    <t>0.1</t>
  </si>
  <si>
    <t>0.05</t>
  </si>
  <si>
    <t>Восстанавливаемость</t>
  </si>
  <si>
    <t>Время восстановления после сбоя</t>
  </si>
  <si>
    <t>Отказоустойчивость</t>
  </si>
  <si>
    <t>Сохранение данных при аварийном завершении</t>
  </si>
  <si>
    <t>% сохранений</t>
  </si>
  <si>
    <t>95</t>
  </si>
  <si>
    <t>90</t>
  </si>
  <si>
    <t>Анализируемость</t>
  </si>
  <si>
    <t>Наличие лог-файлов для диагностики</t>
  </si>
  <si>
    <t>КБ/день</t>
  </si>
  <si>
    <t>50</t>
  </si>
  <si>
    <t>Устанавливаемость</t>
  </si>
  <si>
    <t>Время установки приложения</t>
  </si>
  <si>
    <t>30</t>
  </si>
  <si>
    <t>0 (встроен)</t>
  </si>
  <si>
    <t>Размер дистрибутива</t>
  </si>
  <si>
    <t>4.2</t>
  </si>
  <si>
    <t>Встроен в ОС</t>
  </si>
  <si>
    <t>Адаптируемость</t>
  </si>
  <si>
    <t>Поддержка различных ОС</t>
  </si>
  <si>
    <t>Кол-во ОС</t>
  </si>
  <si>
    <t>1 (Windows)</t>
  </si>
  <si>
    <t>Количественные характеристики качества</t>
  </si>
  <si>
    <t>Производительность</t>
  </si>
  <si>
    <t>Надежность</t>
  </si>
  <si>
    <t>Сопровождаемость</t>
  </si>
  <si>
    <t>Переносимость</t>
  </si>
  <si>
    <t>Характеристика качества</t>
  </si>
  <si>
    <t>Оценка (1-5)</t>
  </si>
  <si>
    <t>Функциональная полнота</t>
  </si>
  <si>
    <t>Набор функций для редактирования текста</t>
  </si>
  <si>
    <t>Функциональная правильность</t>
  </si>
  <si>
    <t>Корректность выполнения операций</t>
  </si>
  <si>
    <t>Функциональная целесообразность</t>
  </si>
  <si>
    <t>Соответствие функций потребностям пользователя</t>
  </si>
  <si>
    <t>Узнаваемость</t>
  </si>
  <si>
    <t>Легкость обнаружения функций</t>
  </si>
  <si>
    <t>Обучаемость</t>
  </si>
  <si>
    <t>Легкость освоения продукта</t>
  </si>
  <si>
    <t>Оперативность</t>
  </si>
  <si>
    <t>Эффективность выполнения задач</t>
  </si>
  <si>
    <t>Защита от ошибок</t>
  </si>
  <si>
    <t>Предотвращение ошибок пользователя</t>
  </si>
  <si>
    <t>Эстетика интерфейса</t>
  </si>
  <si>
    <t>Визуальная привлекательность</t>
  </si>
  <si>
    <t>Сосуществование</t>
  </si>
  <si>
    <t>Работа с другими приложениями</t>
  </si>
  <si>
    <t>Взаимозаменяемость</t>
  </si>
  <si>
    <t>Возможность замены другим ПО</t>
  </si>
  <si>
    <t>Конфиденциальность</t>
  </si>
  <si>
    <t>Защита данных от несанкционированного доступа</t>
  </si>
  <si>
    <t>Целостность</t>
  </si>
  <si>
    <t>Защита от несанкционированного изменения</t>
  </si>
  <si>
    <t>Модульность</t>
  </si>
  <si>
    <t>Возможность модификации компонентов</t>
  </si>
  <si>
    <t>Переиспользуемость</t>
  </si>
  <si>
    <t>Возможность использования компонентов</t>
  </si>
  <si>
    <t>Модифицируемость</t>
  </si>
  <si>
    <t>Легкость внесения изменений</t>
  </si>
  <si>
    <t>Тестируемость</t>
  </si>
  <si>
    <t>Возможность тестирования компонентов</t>
  </si>
  <si>
    <t>Возможность адаптации к различным средам</t>
  </si>
  <si>
    <t>Легкость установки и удаления</t>
  </si>
  <si>
    <t>Замещаемость</t>
  </si>
  <si>
    <t>Возможность замены в одной среде</t>
  </si>
  <si>
    <t>Качественные характеристики качества</t>
  </si>
  <si>
    <t>Совместимость</t>
  </si>
  <si>
    <t>Безопасность</t>
  </si>
  <si>
    <t>Функциональная пригодность</t>
  </si>
  <si>
    <t>Удобство использования</t>
  </si>
  <si>
    <t>Общая оценка</t>
  </si>
  <si>
    <t>Метрика</t>
  </si>
  <si>
    <t>Время запуска (с)</t>
  </si>
  <si>
    <t>Открытие файла 10МБ (с)</t>
  </si>
  <si>
    <t>Поиск текста (с)</t>
  </si>
  <si>
    <t>Память (МБ)</t>
  </si>
  <si>
    <t>Частота сбоев</t>
  </si>
  <si>
    <t>Восстановление (с)</t>
  </si>
  <si>
    <t>Сохранение данных (%)</t>
  </si>
  <si>
    <t>Лог-файлы (КБ/день)</t>
  </si>
  <si>
    <t>Характеристика</t>
  </si>
  <si>
    <t>Усредненные качественные характеристики качества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</si>
</sst>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Качественные характеристики качества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Лист1!$F$49</c:f>
              <c:strCache>
                <c:ptCount val="1"/>
                <c:pt idx="0">
                  <c:v>Notepad++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Лист1!$E$50:$E$56</c:f>
              <c:strCache>
                <c:ptCount val="7"/>
                <c:pt idx="0">
                  <c:v>Функциональная пригодность</c:v>
                </c:pt>
                <c:pt idx="1">
                  <c:v>Удобство использования</c:v>
                </c:pt>
                <c:pt idx="2">
                  <c:v>Совместимость</c:v>
                </c:pt>
                <c:pt idx="3">
                  <c:v>Безопасность</c:v>
                </c:pt>
                <c:pt idx="4">
                  <c:v>Сопровождаемость</c:v>
                </c:pt>
                <c:pt idx="5">
                  <c:v>Переносимость</c:v>
                </c:pt>
                <c:pt idx="6">
                  <c:v>Общая оценка</c:v>
                </c:pt>
              </c:strCache>
            </c:strRef>
          </c:cat>
          <c:val>
            <c:numRef>
              <c:f>Лист1!$F$50:$F$56</c:f>
              <c:numCache>
                <c:formatCode>General</c:formatCode>
                <c:ptCount val="7"/>
                <c:pt idx="0">
                  <c:v>5</c:v>
                </c:pt>
                <c:pt idx="1">
                  <c:v>4.2</c:v>
                </c:pt>
                <c:pt idx="2">
                  <c:v>5</c:v>
                </c:pt>
                <c:pt idx="3">
                  <c:v>4</c:v>
                </c:pt>
                <c:pt idx="4">
                  <c:v>4.5</c:v>
                </c:pt>
                <c:pt idx="5">
                  <c:v>4.333333333333333</c:v>
                </c:pt>
                <c:pt idx="6">
                  <c:v>4.5055555555555555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E-421C-BCB1-28B4637C7CCF}"/>
            </c:ext>
          </c:extLst>
        </c:ser>
        <c:ser>
          <c:idx val="1"/>
          <c:order val="1"/>
          <c:tx>
            <c:strRef>
              <c:f>Лист1!$G$49</c:f>
              <c:strCache>
                <c:ptCount val="1"/>
                <c:pt idx="0">
                  <c:v>Блокнот Windows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Лист1!$E$50:$E$56</c:f>
              <c:strCache>
                <c:ptCount val="7"/>
                <c:pt idx="0">
                  <c:v>Функциональная пригодность</c:v>
                </c:pt>
                <c:pt idx="1">
                  <c:v>Удобство использования</c:v>
                </c:pt>
                <c:pt idx="2">
                  <c:v>Совместимость</c:v>
                </c:pt>
                <c:pt idx="3">
                  <c:v>Безопасность</c:v>
                </c:pt>
                <c:pt idx="4">
                  <c:v>Сопровождаемость</c:v>
                </c:pt>
                <c:pt idx="5">
                  <c:v>Переносимость</c:v>
                </c:pt>
                <c:pt idx="6">
                  <c:v>Общая оценка</c:v>
                </c:pt>
              </c:strCache>
            </c:strRef>
          </c:cat>
          <c:val>
            <c:numRef>
              <c:f>Лист1!$G$50:$G$56</c:f>
              <c:numCache>
                <c:formatCode>General</c:formatCode>
                <c:ptCount val="7"/>
                <c:pt idx="0">
                  <c:v>4</c:v>
                </c:pt>
                <c:pt idx="1">
                  <c:v>4.2</c:v>
                </c:pt>
                <c:pt idx="2">
                  <c:v>4.5</c:v>
                </c:pt>
                <c:pt idx="3">
                  <c:v>4</c:v>
                </c:pt>
                <c:pt idx="4">
                  <c:v>1.25</c:v>
                </c:pt>
                <c:pt idx="5">
                  <c:v>4</c:v>
                </c:pt>
                <c:pt idx="6">
                  <c:v>3.6583333333333332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E-421C-BCB1-28B4637C7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85040"/>
        <c:axId val="124085456"/>
      </c:barChart>
      <c:catAx>
        <c:axId val="12408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85456"/>
        <c:crosses val="autoZero"/>
        <c:auto val="1"/>
        <c:lblAlgn val="ctr"/>
        <c:lblOffset val="100"/>
        <c:noMultiLvlLbl val="0"/>
      </c:catAx>
      <c:valAx>
        <c:axId val="1240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8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характеристик качества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Лист1!$M$2</c:f>
              <c:strCache>
                <c:ptCount val="1"/>
                <c:pt idx="0">
                  <c:v>Notepad++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Лист1!$L$3:$L$10</c:f>
              <c:strCache>
                <c:ptCount val="8"/>
                <c:pt idx="0">
                  <c:v>Время запуска (с)</c:v>
                </c:pt>
                <c:pt idx="1">
                  <c:v>Открытие файла 10МБ (с)</c:v>
                </c:pt>
                <c:pt idx="2">
                  <c:v>Поиск текста (с)</c:v>
                </c:pt>
                <c:pt idx="3">
                  <c:v>Память (МБ)</c:v>
                </c:pt>
                <c:pt idx="4">
                  <c:v>Частота сбоев</c:v>
                </c:pt>
                <c:pt idx="5">
                  <c:v>Восстановление (с)</c:v>
                </c:pt>
                <c:pt idx="6">
                  <c:v>Сохранение данных (%)</c:v>
                </c:pt>
                <c:pt idx="7">
                  <c:v>Лог-файлы (КБ/день)</c:v>
                </c:pt>
              </c:strCache>
            </c:strRef>
          </c:cat>
          <c:val>
            <c:numRef>
              <c:f>Лист1!$M$3:$M$10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0.8</c:v>
                </c:pt>
                <c:pt idx="3">
                  <c:v>45</c:v>
                </c:pt>
                <c:pt idx="4">
                  <c:v>0.1</c:v>
                </c:pt>
                <c:pt idx="5">
                  <c:v>3</c:v>
                </c:pt>
                <c:pt idx="6">
                  <c:v>95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E-4503-945D-040C9BEC47CA}"/>
            </c:ext>
          </c:extLst>
        </c:ser>
        <c:ser>
          <c:idx val="1"/>
          <c:order val="1"/>
          <c:tx>
            <c:strRef>
              <c:f>Лист1!$N$2</c:f>
              <c:strCache>
                <c:ptCount val="1"/>
                <c:pt idx="0">
                  <c:v>Блокнот Windows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Лист1!$L$3:$L$10</c:f>
              <c:strCache>
                <c:ptCount val="8"/>
                <c:pt idx="0">
                  <c:v>Время запуска (с)</c:v>
                </c:pt>
                <c:pt idx="1">
                  <c:v>Открытие файла 10МБ (с)</c:v>
                </c:pt>
                <c:pt idx="2">
                  <c:v>Поиск текста (с)</c:v>
                </c:pt>
                <c:pt idx="3">
                  <c:v>Память (МБ)</c:v>
                </c:pt>
                <c:pt idx="4">
                  <c:v>Частота сбоев</c:v>
                </c:pt>
                <c:pt idx="5">
                  <c:v>Восстановление (с)</c:v>
                </c:pt>
                <c:pt idx="6">
                  <c:v>Сохранение данных (%)</c:v>
                </c:pt>
                <c:pt idx="7">
                  <c:v>Лог-файлы (КБ/день)</c:v>
                </c:pt>
              </c:strCache>
            </c:strRef>
          </c:cat>
          <c:val>
            <c:numRef>
              <c:f>Лист1!$N$3:$N$10</c:f>
              <c:numCache>
                <c:formatCode>General</c:formatCode>
                <c:ptCount val="8"/>
                <c:pt idx="0">
                  <c:v>0.5</c:v>
                </c:pt>
                <c:pt idx="1">
                  <c:v>3</c:v>
                </c:pt>
                <c:pt idx="2">
                  <c:v>2.5</c:v>
                </c:pt>
                <c:pt idx="3">
                  <c:v>20</c:v>
                </c:pt>
                <c:pt idx="4">
                  <c:v>0.05</c:v>
                </c:pt>
                <c:pt idx="5">
                  <c:v>1</c:v>
                </c:pt>
                <c:pt idx="6">
                  <c:v>90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E-4503-945D-040C9BEC4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601599"/>
        <c:axId val="620603999"/>
      </c:barChart>
      <c:catAx>
        <c:axId val="6206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Метрики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0603999"/>
        <c:crosses val="autoZero"/>
        <c:auto val="1"/>
        <c:lblAlgn val="ctr"/>
        <c:lblOffset val="100"/>
        <c:noMultiLvlLbl val="0"/>
      </c:catAx>
      <c:valAx>
        <c:axId val="6206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Значение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06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характеристик качества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Лист1!$Z$2</c:f>
              <c:strCache>
                <c:ptCount val="1"/>
                <c:pt idx="0">
                  <c:v>Notepad++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Лист1!$Y$3:$Y$6</c:f>
              <c:strCache>
                <c:ptCount val="4"/>
                <c:pt idx="0">
                  <c:v>Производительность</c:v>
                </c:pt>
                <c:pt idx="1">
                  <c:v>Надежность</c:v>
                </c:pt>
                <c:pt idx="2">
                  <c:v>Сопровождаемость</c:v>
                </c:pt>
                <c:pt idx="3">
                  <c:v>Переносимость</c:v>
                </c:pt>
              </c:strCache>
            </c:strRef>
          </c:cat>
          <c:val>
            <c:numRef>
              <c:f>Лист1!$Z$3:$Z$6</c:f>
              <c:numCache>
                <c:formatCode>General</c:formatCode>
                <c:ptCount val="4"/>
                <c:pt idx="0">
                  <c:v>75</c:v>
                </c:pt>
                <c:pt idx="1">
                  <c:v>80</c:v>
                </c:pt>
                <c:pt idx="2">
                  <c:v>90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C-4511-9FEE-B1363D60B5C3}"/>
            </c:ext>
          </c:extLst>
        </c:ser>
        <c:ser>
          <c:idx val="1"/>
          <c:order val="1"/>
          <c:tx>
            <c:strRef>
              <c:f>Лист1!$AA$2</c:f>
              <c:strCache>
                <c:ptCount val="1"/>
                <c:pt idx="0">
                  <c:v>Блокнот Windows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Лист1!$Y$3:$Y$6</c:f>
              <c:strCache>
                <c:ptCount val="4"/>
                <c:pt idx="0">
                  <c:v>Производительность</c:v>
                </c:pt>
                <c:pt idx="1">
                  <c:v>Надежность</c:v>
                </c:pt>
                <c:pt idx="2">
                  <c:v>Сопровождаемость</c:v>
                </c:pt>
                <c:pt idx="3">
                  <c:v>Переносимость</c:v>
                </c:pt>
              </c:strCache>
            </c:strRef>
          </c:cat>
          <c:val>
            <c:numRef>
              <c:f>Лист1!$AA$3:$AA$6</c:f>
              <c:numCache>
                <c:formatCode>General</c:formatCode>
                <c:ptCount val="4"/>
                <c:pt idx="0">
                  <c:v>60</c:v>
                </c:pt>
                <c:pt idx="1">
                  <c:v>85</c:v>
                </c:pt>
                <c:pt idx="2">
                  <c:v>40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C-4511-9FEE-B1363D60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925487"/>
        <c:axId val="884918767"/>
      </c:radarChart>
      <c:catAx>
        <c:axId val="88492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4918767"/>
        <c:crosses val="autoZero"/>
        <c:auto val="1"/>
        <c:lblAlgn val="ctr"/>
        <c:lblOffset val="100"/>
        <c:noMultiLvlLbl val="0"/>
      </c:catAx>
      <c:valAx>
        <c:axId val="8849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492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137526</xdr:colOff>
      <xdr:row>19</xdr:row>
      <xdr:rowOff>6724</xdr:rowOff>
    </xdr:from>
    <xdr:to>
      <xdr:col>3</xdr:col>
      <xdr:colOff>462495</xdr:colOff>
      <xdr:row>37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250370</xdr:colOff>
      <xdr:row>10</xdr:row>
      <xdr:rowOff>179613</xdr:rowOff>
    </xdr:from>
    <xdr:to>
      <xdr:col>21</xdr:col>
      <xdr:colOff>598714</xdr:colOff>
      <xdr:row>43</xdr:row>
      <xdr:rowOff>10886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122ABF-6ABA-D475-774A-AC8361AF1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391886</xdr:colOff>
      <xdr:row>11</xdr:row>
      <xdr:rowOff>27214</xdr:rowOff>
    </xdr:from>
    <xdr:to>
      <xdr:col>34</xdr:col>
      <xdr:colOff>457199</xdr:colOff>
      <xdr:row>43</xdr:row>
      <xdr:rowOff>10886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8B7EEF8-913D-B11B-5711-0DAFF7E18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topLeftCell="B16" zoomScale="70" zoomScaleNormal="70" workbookViewId="0">
      <selection activeCell="E48" sqref="E48:G48"/>
    </sheetView>
  </sheetViews>
  <sheetFormatPr defaultRowHeight="14.4" x14ac:dyDescent="0.3"/>
  <cols>
    <col min="1" max="1" width="9.44140625" customWidth="1"/>
    <col min="2" max="2" width="24.109375" customWidth="1"/>
    <col min="3" max="3" width="71.6640625" customWidth="1"/>
    <col min="5" max="5" width="28.109375" customWidth="1"/>
    <col min="6" max="6" width="33.88671875" customWidth="1"/>
    <col min="7" max="7" width="48.33203125" customWidth="1"/>
    <col min="8" max="8" width="14.33203125" customWidth="1"/>
    <col min="9" max="9" width="11.5546875" customWidth="1"/>
    <col min="10" max="10" width="19.33203125" customWidth="1"/>
    <col min="12" max="12" width="24.77734375" customWidth="1"/>
    <col min="13" max="13" width="11" customWidth="1"/>
    <col min="14" max="14" width="17.88671875" customWidth="1"/>
    <col min="25" max="25" width="20.6640625" customWidth="1"/>
    <col min="26" max="26" width="10.44140625" customWidth="1"/>
    <col min="27" max="27" width="17.6640625" customWidth="1"/>
  </cols>
  <sheetData>
    <row r="1" spans="1:27" x14ac:dyDescent="0.3">
      <c r="A1" s="6" t="s">
        <v>0</v>
      </c>
      <c r="B1" s="6"/>
      <c r="C1" s="6"/>
      <c r="E1" s="6" t="s">
        <v>72</v>
      </c>
      <c r="F1" s="6"/>
      <c r="G1" s="6"/>
      <c r="H1" s="6"/>
      <c r="I1" s="6"/>
      <c r="J1" s="6"/>
    </row>
    <row r="2" spans="1:27" x14ac:dyDescent="0.3">
      <c r="A2" s="1" t="s">
        <v>1</v>
      </c>
      <c r="B2" s="1" t="s">
        <v>2</v>
      </c>
      <c r="C2" s="1" t="s">
        <v>3</v>
      </c>
      <c r="E2" s="1" t="s">
        <v>77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L2" s="5" t="s">
        <v>121</v>
      </c>
      <c r="M2" s="5" t="s">
        <v>22</v>
      </c>
      <c r="N2" s="5" t="s">
        <v>23</v>
      </c>
      <c r="Y2" s="5" t="s">
        <v>130</v>
      </c>
      <c r="Z2" s="5" t="s">
        <v>22</v>
      </c>
      <c r="AA2" s="5" t="s">
        <v>23</v>
      </c>
    </row>
    <row r="3" spans="1:27" x14ac:dyDescent="0.3">
      <c r="A3" s="1" t="s">
        <v>14</v>
      </c>
      <c r="B3" s="1" t="s">
        <v>4</v>
      </c>
      <c r="C3" s="1" t="s">
        <v>5</v>
      </c>
      <c r="E3" s="1" t="s">
        <v>73</v>
      </c>
      <c r="F3" s="1" t="s">
        <v>24</v>
      </c>
      <c r="G3" s="1" t="s">
        <v>24</v>
      </c>
      <c r="H3" s="1" t="s">
        <v>24</v>
      </c>
      <c r="I3" s="1" t="s">
        <v>24</v>
      </c>
      <c r="J3" s="1" t="s">
        <v>24</v>
      </c>
      <c r="L3" s="5" t="s">
        <v>122</v>
      </c>
      <c r="M3" s="5">
        <v>2</v>
      </c>
      <c r="N3" s="5">
        <v>0.5</v>
      </c>
      <c r="Y3" s="5" t="s">
        <v>73</v>
      </c>
      <c r="Z3" s="5">
        <v>75</v>
      </c>
      <c r="AA3" s="5">
        <v>60</v>
      </c>
    </row>
    <row r="4" spans="1:27" x14ac:dyDescent="0.3">
      <c r="A4" s="1" t="s">
        <v>15</v>
      </c>
      <c r="B4" s="1" t="s">
        <v>6</v>
      </c>
      <c r="C4" s="1" t="s">
        <v>7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L4" s="5" t="s">
        <v>123</v>
      </c>
      <c r="M4" s="5">
        <v>1.5</v>
      </c>
      <c r="N4" s="5">
        <v>3</v>
      </c>
      <c r="Y4" s="5" t="s">
        <v>74</v>
      </c>
      <c r="Z4" s="5">
        <v>80</v>
      </c>
      <c r="AA4" s="5">
        <v>85</v>
      </c>
    </row>
    <row r="5" spans="1:27" x14ac:dyDescent="0.3">
      <c r="A5" s="1" t="s">
        <v>16</v>
      </c>
      <c r="B5" s="1" t="s">
        <v>8</v>
      </c>
      <c r="C5" s="1" t="s">
        <v>9</v>
      </c>
      <c r="E5" s="1" t="s">
        <v>24</v>
      </c>
      <c r="F5" s="1" t="s">
        <v>25</v>
      </c>
      <c r="G5" s="1" t="s">
        <v>30</v>
      </c>
      <c r="H5" s="1" t="s">
        <v>27</v>
      </c>
      <c r="I5" s="1" t="s">
        <v>31</v>
      </c>
      <c r="J5" s="1" t="s">
        <v>32</v>
      </c>
      <c r="L5" s="5" t="s">
        <v>124</v>
      </c>
      <c r="M5" s="5">
        <v>0.8</v>
      </c>
      <c r="N5" s="5">
        <v>2.5</v>
      </c>
      <c r="Y5" s="5" t="s">
        <v>75</v>
      </c>
      <c r="Z5" s="5">
        <v>90</v>
      </c>
      <c r="AA5" s="5">
        <v>40</v>
      </c>
    </row>
    <row r="6" spans="1:27" x14ac:dyDescent="0.3">
      <c r="A6" s="1" t="s">
        <v>17</v>
      </c>
      <c r="B6" s="1" t="s">
        <v>10</v>
      </c>
      <c r="C6" s="1" t="s">
        <v>11</v>
      </c>
      <c r="E6" s="1" t="s">
        <v>24</v>
      </c>
      <c r="F6" s="1" t="s">
        <v>25</v>
      </c>
      <c r="G6" s="1" t="s">
        <v>33</v>
      </c>
      <c r="H6" s="1" t="s">
        <v>27</v>
      </c>
      <c r="I6" s="1" t="s">
        <v>34</v>
      </c>
      <c r="J6" s="1" t="s">
        <v>35</v>
      </c>
      <c r="L6" s="5" t="s">
        <v>125</v>
      </c>
      <c r="M6" s="5">
        <v>45</v>
      </c>
      <c r="N6" s="5">
        <v>20</v>
      </c>
      <c r="Y6" s="5" t="s">
        <v>76</v>
      </c>
      <c r="Z6" s="5">
        <v>50</v>
      </c>
      <c r="AA6" s="5">
        <v>95</v>
      </c>
    </row>
    <row r="7" spans="1:27" x14ac:dyDescent="0.3">
      <c r="A7" s="1" t="s">
        <v>18</v>
      </c>
      <c r="B7" s="1" t="s">
        <v>12</v>
      </c>
      <c r="C7" s="1" t="s">
        <v>13</v>
      </c>
      <c r="E7" s="1" t="s">
        <v>24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L7" s="5" t="s">
        <v>126</v>
      </c>
      <c r="M7" s="5">
        <v>0.1</v>
      </c>
      <c r="N7" s="5">
        <v>0.05</v>
      </c>
    </row>
    <row r="8" spans="1:27" x14ac:dyDescent="0.3">
      <c r="E8" s="1" t="s">
        <v>24</v>
      </c>
      <c r="F8" s="1" t="s">
        <v>36</v>
      </c>
      <c r="G8" s="1" t="s">
        <v>41</v>
      </c>
      <c r="H8" s="1" t="s">
        <v>42</v>
      </c>
      <c r="I8" s="1" t="s">
        <v>43</v>
      </c>
      <c r="J8" s="1" t="s">
        <v>44</v>
      </c>
      <c r="L8" s="5" t="s">
        <v>127</v>
      </c>
      <c r="M8" s="5">
        <v>3</v>
      </c>
      <c r="N8" s="5">
        <v>1</v>
      </c>
    </row>
    <row r="9" spans="1:27" x14ac:dyDescent="0.3">
      <c r="E9" s="1" t="s">
        <v>74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L9" s="5" t="s">
        <v>128</v>
      </c>
      <c r="M9" s="5">
        <v>95</v>
      </c>
      <c r="N9" s="5">
        <v>90</v>
      </c>
    </row>
    <row r="10" spans="1:27" x14ac:dyDescent="0.3">
      <c r="E10" s="1" t="s">
        <v>24</v>
      </c>
      <c r="F10" s="1" t="s">
        <v>45</v>
      </c>
      <c r="G10" s="1" t="s">
        <v>46</v>
      </c>
      <c r="H10" s="1" t="s">
        <v>47</v>
      </c>
      <c r="I10" s="1" t="s">
        <v>48</v>
      </c>
      <c r="J10" s="1" t="s">
        <v>49</v>
      </c>
      <c r="L10" s="5" t="s">
        <v>129</v>
      </c>
      <c r="M10" s="5">
        <v>50</v>
      </c>
      <c r="N10" s="5">
        <v>5</v>
      </c>
    </row>
    <row r="11" spans="1:27" x14ac:dyDescent="0.3">
      <c r="E11" s="1" t="s">
        <v>24</v>
      </c>
      <c r="F11" s="1" t="s">
        <v>50</v>
      </c>
      <c r="G11" s="1" t="s">
        <v>51</v>
      </c>
      <c r="H11" s="1" t="s">
        <v>27</v>
      </c>
      <c r="I11" s="1" t="s">
        <v>16</v>
      </c>
      <c r="J11" s="1" t="s">
        <v>18</v>
      </c>
    </row>
    <row r="12" spans="1:27" x14ac:dyDescent="0.3">
      <c r="E12" s="1" t="s">
        <v>24</v>
      </c>
      <c r="F12" s="1" t="s">
        <v>52</v>
      </c>
      <c r="G12" s="1" t="s">
        <v>53</v>
      </c>
      <c r="H12" s="1" t="s">
        <v>54</v>
      </c>
      <c r="I12" s="1" t="s">
        <v>55</v>
      </c>
      <c r="J12" s="1" t="s">
        <v>56</v>
      </c>
    </row>
    <row r="13" spans="1:27" x14ac:dyDescent="0.3">
      <c r="E13" s="1" t="s">
        <v>75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</row>
    <row r="14" spans="1:27" x14ac:dyDescent="0.3">
      <c r="E14" s="1" t="s">
        <v>24</v>
      </c>
      <c r="F14" s="1" t="s">
        <v>57</v>
      </c>
      <c r="G14" s="1" t="s">
        <v>58</v>
      </c>
      <c r="H14" s="1" t="s">
        <v>59</v>
      </c>
      <c r="I14" s="1" t="s">
        <v>60</v>
      </c>
      <c r="J14" s="1" t="s">
        <v>14</v>
      </c>
    </row>
    <row r="15" spans="1:27" x14ac:dyDescent="0.3">
      <c r="E15" s="1" t="s">
        <v>76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</row>
    <row r="16" spans="1:27" x14ac:dyDescent="0.3">
      <c r="E16" s="1" t="s">
        <v>24</v>
      </c>
      <c r="F16" s="1" t="s">
        <v>61</v>
      </c>
      <c r="G16" s="1" t="s">
        <v>62</v>
      </c>
      <c r="H16" s="1" t="s">
        <v>27</v>
      </c>
      <c r="I16" s="1" t="s">
        <v>63</v>
      </c>
      <c r="J16" s="1" t="s">
        <v>64</v>
      </c>
    </row>
    <row r="17" spans="5:10" x14ac:dyDescent="0.3">
      <c r="E17" s="1" t="s">
        <v>24</v>
      </c>
      <c r="F17" s="1" t="s">
        <v>61</v>
      </c>
      <c r="G17" s="1" t="s">
        <v>65</v>
      </c>
      <c r="H17" s="1" t="s">
        <v>38</v>
      </c>
      <c r="I17" s="1" t="s">
        <v>66</v>
      </c>
      <c r="J17" s="1" t="s">
        <v>67</v>
      </c>
    </row>
    <row r="18" spans="5:10" x14ac:dyDescent="0.3">
      <c r="E18" s="1" t="s">
        <v>24</v>
      </c>
      <c r="F18" s="1" t="s">
        <v>68</v>
      </c>
      <c r="G18" s="1" t="s">
        <v>69</v>
      </c>
      <c r="H18" s="1" t="s">
        <v>70</v>
      </c>
      <c r="I18" s="1" t="s">
        <v>71</v>
      </c>
      <c r="J18" s="1" t="s">
        <v>71</v>
      </c>
    </row>
    <row r="20" spans="5:10" x14ac:dyDescent="0.3">
      <c r="E20" s="6" t="s">
        <v>115</v>
      </c>
      <c r="F20" s="6"/>
      <c r="G20" s="6"/>
      <c r="H20" s="6"/>
      <c r="I20" s="6"/>
      <c r="J20" s="6"/>
    </row>
    <row r="21" spans="5:10" x14ac:dyDescent="0.3">
      <c r="E21" s="1" t="s">
        <v>77</v>
      </c>
      <c r="F21" s="1" t="s">
        <v>19</v>
      </c>
      <c r="G21" s="1" t="s">
        <v>20</v>
      </c>
      <c r="H21" s="1" t="s">
        <v>78</v>
      </c>
      <c r="I21" s="1" t="s">
        <v>22</v>
      </c>
      <c r="J21" s="1" t="s">
        <v>23</v>
      </c>
    </row>
    <row r="22" spans="5:10" x14ac:dyDescent="0.3">
      <c r="E22" s="1" t="s">
        <v>118</v>
      </c>
      <c r="F22" s="1" t="s">
        <v>24</v>
      </c>
      <c r="G22" s="1" t="s">
        <v>24</v>
      </c>
      <c r="H22" s="1" t="s">
        <v>24</v>
      </c>
      <c r="I22" s="2" t="s">
        <v>24</v>
      </c>
      <c r="J22" s="1" t="s">
        <v>24</v>
      </c>
    </row>
    <row r="23" spans="5:10" x14ac:dyDescent="0.3">
      <c r="E23" s="1" t="s">
        <v>24</v>
      </c>
      <c r="F23" s="1" t="s">
        <v>79</v>
      </c>
      <c r="G23" s="1" t="s">
        <v>80</v>
      </c>
      <c r="H23" s="1" t="s">
        <v>24</v>
      </c>
      <c r="I23" s="1">
        <v>5</v>
      </c>
      <c r="J23" s="1">
        <v>3</v>
      </c>
    </row>
    <row r="24" spans="5:10" x14ac:dyDescent="0.3">
      <c r="E24" s="1" t="s">
        <v>24</v>
      </c>
      <c r="F24" s="1" t="s">
        <v>81</v>
      </c>
      <c r="G24" s="1" t="s">
        <v>82</v>
      </c>
      <c r="H24" s="1" t="s">
        <v>24</v>
      </c>
      <c r="I24" s="1">
        <v>5</v>
      </c>
      <c r="J24" s="1">
        <v>5</v>
      </c>
    </row>
    <row r="25" spans="5:10" x14ac:dyDescent="0.3">
      <c r="E25" s="1" t="s">
        <v>24</v>
      </c>
      <c r="F25" s="1" t="s">
        <v>83</v>
      </c>
      <c r="G25" s="1" t="s">
        <v>84</v>
      </c>
      <c r="H25" s="1" t="s">
        <v>24</v>
      </c>
      <c r="I25" s="1">
        <v>5</v>
      </c>
      <c r="J25" s="1">
        <v>4</v>
      </c>
    </row>
    <row r="26" spans="5:10" x14ac:dyDescent="0.3">
      <c r="E26" s="1" t="s">
        <v>119</v>
      </c>
      <c r="F26" s="1" t="s">
        <v>24</v>
      </c>
      <c r="G26" s="1" t="s">
        <v>24</v>
      </c>
      <c r="H26" s="1" t="s">
        <v>24</v>
      </c>
      <c r="I26" s="2" t="s">
        <v>24</v>
      </c>
      <c r="J26" s="1" t="s">
        <v>24</v>
      </c>
    </row>
    <row r="27" spans="5:10" x14ac:dyDescent="0.3">
      <c r="E27" s="1" t="s">
        <v>24</v>
      </c>
      <c r="F27" s="1" t="s">
        <v>85</v>
      </c>
      <c r="G27" s="1" t="s">
        <v>86</v>
      </c>
      <c r="H27" s="1" t="s">
        <v>24</v>
      </c>
      <c r="I27" s="1">
        <v>4</v>
      </c>
      <c r="J27" s="1">
        <v>5</v>
      </c>
    </row>
    <row r="28" spans="5:10" x14ac:dyDescent="0.3">
      <c r="E28" s="1" t="s">
        <v>24</v>
      </c>
      <c r="F28" s="1" t="s">
        <v>87</v>
      </c>
      <c r="G28" s="1" t="s">
        <v>88</v>
      </c>
      <c r="H28" s="1" t="s">
        <v>24</v>
      </c>
      <c r="I28" s="1">
        <v>4</v>
      </c>
      <c r="J28" s="1">
        <v>5</v>
      </c>
    </row>
    <row r="29" spans="5:10" x14ac:dyDescent="0.3">
      <c r="E29" s="1" t="s">
        <v>24</v>
      </c>
      <c r="F29" s="1" t="s">
        <v>89</v>
      </c>
      <c r="G29" s="1" t="s">
        <v>90</v>
      </c>
      <c r="H29" s="1" t="s">
        <v>24</v>
      </c>
      <c r="I29" s="1">
        <v>5</v>
      </c>
      <c r="J29" s="1">
        <v>3</v>
      </c>
    </row>
    <row r="30" spans="5:10" x14ac:dyDescent="0.3">
      <c r="E30" s="1" t="s">
        <v>24</v>
      </c>
      <c r="F30" s="1" t="s">
        <v>91</v>
      </c>
      <c r="G30" s="1" t="s">
        <v>92</v>
      </c>
      <c r="H30" s="1" t="s">
        <v>24</v>
      </c>
      <c r="I30" s="1">
        <v>4</v>
      </c>
      <c r="J30" s="1">
        <v>4</v>
      </c>
    </row>
    <row r="31" spans="5:10" x14ac:dyDescent="0.3">
      <c r="E31" s="1" t="s">
        <v>24</v>
      </c>
      <c r="F31" s="1" t="s">
        <v>93</v>
      </c>
      <c r="G31" s="1" t="s">
        <v>94</v>
      </c>
      <c r="H31" s="1" t="s">
        <v>24</v>
      </c>
      <c r="I31" s="1">
        <v>4</v>
      </c>
      <c r="J31" s="1">
        <v>4</v>
      </c>
    </row>
    <row r="32" spans="5:10" x14ac:dyDescent="0.3">
      <c r="E32" s="1" t="s">
        <v>116</v>
      </c>
      <c r="F32" s="1" t="s">
        <v>24</v>
      </c>
      <c r="G32" s="1" t="s">
        <v>24</v>
      </c>
      <c r="H32" s="1" t="s">
        <v>24</v>
      </c>
      <c r="I32" s="2" t="s">
        <v>24</v>
      </c>
      <c r="J32" s="1" t="s">
        <v>24</v>
      </c>
    </row>
    <row r="33" spans="5:10" x14ac:dyDescent="0.3">
      <c r="E33" s="1" t="s">
        <v>24</v>
      </c>
      <c r="F33" s="1" t="s">
        <v>95</v>
      </c>
      <c r="G33" s="1" t="s">
        <v>96</v>
      </c>
      <c r="H33" s="1" t="s">
        <v>24</v>
      </c>
      <c r="I33" s="1">
        <v>5</v>
      </c>
      <c r="J33" s="1">
        <v>5</v>
      </c>
    </row>
    <row r="34" spans="5:10" x14ac:dyDescent="0.3">
      <c r="E34" s="1" t="s">
        <v>24</v>
      </c>
      <c r="F34" s="1" t="s">
        <v>97</v>
      </c>
      <c r="G34" s="1" t="s">
        <v>98</v>
      </c>
      <c r="H34" s="1" t="s">
        <v>24</v>
      </c>
      <c r="I34" s="1">
        <v>5</v>
      </c>
      <c r="J34" s="1">
        <v>4</v>
      </c>
    </row>
    <row r="35" spans="5:10" x14ac:dyDescent="0.3">
      <c r="E35" s="1" t="s">
        <v>117</v>
      </c>
      <c r="F35" s="1" t="s">
        <v>24</v>
      </c>
      <c r="G35" s="1" t="s">
        <v>24</v>
      </c>
      <c r="H35" s="1" t="s">
        <v>24</v>
      </c>
      <c r="I35" s="2" t="s">
        <v>24</v>
      </c>
      <c r="J35" s="1" t="s">
        <v>24</v>
      </c>
    </row>
    <row r="36" spans="5:10" x14ac:dyDescent="0.3">
      <c r="E36" s="1" t="s">
        <v>24</v>
      </c>
      <c r="F36" s="1" t="s">
        <v>99</v>
      </c>
      <c r="G36" s="1" t="s">
        <v>100</v>
      </c>
      <c r="H36" s="1" t="s">
        <v>24</v>
      </c>
      <c r="I36" s="1">
        <v>4</v>
      </c>
      <c r="J36" s="1">
        <v>4</v>
      </c>
    </row>
    <row r="37" spans="5:10" x14ac:dyDescent="0.3">
      <c r="E37" s="1" t="s">
        <v>24</v>
      </c>
      <c r="F37" s="1" t="s">
        <v>101</v>
      </c>
      <c r="G37" s="1" t="s">
        <v>102</v>
      </c>
      <c r="H37" s="1" t="s">
        <v>24</v>
      </c>
      <c r="I37" s="1">
        <v>4</v>
      </c>
      <c r="J37" s="1">
        <v>4</v>
      </c>
    </row>
    <row r="38" spans="5:10" x14ac:dyDescent="0.3">
      <c r="E38" s="1" t="s">
        <v>75</v>
      </c>
      <c r="F38" s="1" t="s">
        <v>24</v>
      </c>
      <c r="G38" s="1" t="s">
        <v>24</v>
      </c>
      <c r="H38" s="1" t="s">
        <v>24</v>
      </c>
      <c r="I38" s="2" t="s">
        <v>24</v>
      </c>
      <c r="J38" s="1" t="s">
        <v>24</v>
      </c>
    </row>
    <row r="39" spans="5:10" x14ac:dyDescent="0.3">
      <c r="E39" s="1" t="s">
        <v>24</v>
      </c>
      <c r="F39" s="1" t="s">
        <v>103</v>
      </c>
      <c r="G39" s="1" t="s">
        <v>104</v>
      </c>
      <c r="H39" s="1" t="s">
        <v>24</v>
      </c>
      <c r="I39" s="1">
        <v>5</v>
      </c>
      <c r="J39" s="1">
        <v>1</v>
      </c>
    </row>
    <row r="40" spans="5:10" x14ac:dyDescent="0.3">
      <c r="E40" s="1" t="s">
        <v>24</v>
      </c>
      <c r="F40" s="1" t="s">
        <v>105</v>
      </c>
      <c r="G40" s="1" t="s">
        <v>106</v>
      </c>
      <c r="H40" s="1" t="s">
        <v>24</v>
      </c>
      <c r="I40" s="1">
        <v>4</v>
      </c>
      <c r="J40" s="1">
        <v>1</v>
      </c>
    </row>
    <row r="41" spans="5:10" x14ac:dyDescent="0.3">
      <c r="E41" s="1" t="s">
        <v>24</v>
      </c>
      <c r="F41" s="1" t="s">
        <v>107</v>
      </c>
      <c r="G41" s="1" t="s">
        <v>108</v>
      </c>
      <c r="H41" s="1" t="s">
        <v>24</v>
      </c>
      <c r="I41" s="1">
        <v>5</v>
      </c>
      <c r="J41" s="1">
        <v>1</v>
      </c>
    </row>
    <row r="42" spans="5:10" x14ac:dyDescent="0.3">
      <c r="E42" s="1" t="s">
        <v>24</v>
      </c>
      <c r="F42" s="1" t="s">
        <v>109</v>
      </c>
      <c r="G42" s="1" t="s">
        <v>110</v>
      </c>
      <c r="H42" s="1" t="s">
        <v>24</v>
      </c>
      <c r="I42" s="1">
        <v>4</v>
      </c>
      <c r="J42" s="1">
        <v>2</v>
      </c>
    </row>
    <row r="43" spans="5:10" x14ac:dyDescent="0.3">
      <c r="E43" s="1" t="s">
        <v>76</v>
      </c>
      <c r="F43" s="1" t="s">
        <v>24</v>
      </c>
      <c r="G43" s="1" t="s">
        <v>24</v>
      </c>
      <c r="H43" s="1" t="s">
        <v>24</v>
      </c>
      <c r="I43" s="2" t="s">
        <v>24</v>
      </c>
      <c r="J43" s="1" t="s">
        <v>24</v>
      </c>
    </row>
    <row r="44" spans="5:10" x14ac:dyDescent="0.3">
      <c r="E44" s="1" t="s">
        <v>24</v>
      </c>
      <c r="F44" s="1" t="s">
        <v>68</v>
      </c>
      <c r="G44" s="1" t="s">
        <v>111</v>
      </c>
      <c r="H44" s="1" t="s">
        <v>24</v>
      </c>
      <c r="I44" s="1">
        <v>4</v>
      </c>
      <c r="J44" s="1">
        <v>3</v>
      </c>
    </row>
    <row r="45" spans="5:10" x14ac:dyDescent="0.3">
      <c r="E45" s="1" t="s">
        <v>24</v>
      </c>
      <c r="F45" s="1" t="s">
        <v>61</v>
      </c>
      <c r="G45" s="1" t="s">
        <v>112</v>
      </c>
      <c r="H45" s="1" t="s">
        <v>24</v>
      </c>
      <c r="I45" s="1">
        <v>4</v>
      </c>
      <c r="J45" s="1">
        <v>5</v>
      </c>
    </row>
    <row r="46" spans="5:10" x14ac:dyDescent="0.3">
      <c r="E46" s="1" t="s">
        <v>24</v>
      </c>
      <c r="F46" s="1" t="s">
        <v>113</v>
      </c>
      <c r="G46" s="1" t="s">
        <v>114</v>
      </c>
      <c r="H46" s="1" t="s">
        <v>24</v>
      </c>
      <c r="I46" s="1">
        <v>5</v>
      </c>
      <c r="J46" s="1">
        <v>4</v>
      </c>
    </row>
    <row r="47" spans="5:10" x14ac:dyDescent="0.3">
      <c r="I47" s="3"/>
    </row>
    <row r="48" spans="5:10" x14ac:dyDescent="0.3">
      <c r="E48" s="7" t="s">
        <v>131</v>
      </c>
      <c r="F48" s="7"/>
      <c r="G48" s="7"/>
    </row>
    <row r="49" spans="5:7" x14ac:dyDescent="0.3">
      <c r="E49" s="1" t="s">
        <v>77</v>
      </c>
      <c r="F49" s="1" t="s">
        <v>22</v>
      </c>
      <c r="G49" s="1" t="s">
        <v>23</v>
      </c>
    </row>
    <row r="50" spans="5:7" x14ac:dyDescent="0.3">
      <c r="E50" s="1" t="s">
        <v>118</v>
      </c>
      <c r="F50" s="5">
        <f>AVERAGE(I23:I25)</f>
        <v>5</v>
      </c>
      <c r="G50" s="5">
        <f>AVERAGE(J23:J25)</f>
        <v>4</v>
      </c>
    </row>
    <row r="51" spans="5:7" x14ac:dyDescent="0.3">
      <c r="E51" s="1" t="s">
        <v>119</v>
      </c>
      <c r="F51" s="5">
        <f>AVERAGE(I27:I31)</f>
        <v>4.2</v>
      </c>
      <c r="G51" s="5">
        <f>AVERAGE(J27:J31)</f>
        <v>4.2</v>
      </c>
    </row>
    <row r="52" spans="5:7" x14ac:dyDescent="0.3">
      <c r="E52" s="1" t="s">
        <v>116</v>
      </c>
      <c r="F52" s="5">
        <f>AVERAGE(I33:I34)</f>
        <v>5</v>
      </c>
      <c r="G52" s="5">
        <f>AVERAGE(J33:J34)</f>
        <v>4.5</v>
      </c>
    </row>
    <row r="53" spans="5:7" x14ac:dyDescent="0.3">
      <c r="E53" s="1" t="s">
        <v>117</v>
      </c>
      <c r="F53" s="5">
        <f>AVERAGE(I36:I37)</f>
        <v>4</v>
      </c>
      <c r="G53" s="5">
        <f>AVERAGE(J36:J37)</f>
        <v>4</v>
      </c>
    </row>
    <row r="54" spans="5:7" x14ac:dyDescent="0.3">
      <c r="E54" s="1" t="s">
        <v>75</v>
      </c>
      <c r="F54" s="5">
        <f>AVERAGE(I39:I42)</f>
        <v>4.5</v>
      </c>
      <c r="G54" s="5">
        <f>AVERAGE(J39:J42)</f>
        <v>1.25</v>
      </c>
    </row>
    <row r="55" spans="5:7" x14ac:dyDescent="0.3">
      <c r="E55" s="1" t="s">
        <v>76</v>
      </c>
      <c r="F55" s="5">
        <f>AVERAGE(I44:I46)</f>
        <v>4.333333333333333</v>
      </c>
      <c r="G55" s="5">
        <f>AVERAGE(J44:J46)</f>
        <v>4</v>
      </c>
    </row>
    <row r="56" spans="5:7" x14ac:dyDescent="0.3">
      <c r="E56" s="4" t="s">
        <v>120</v>
      </c>
      <c r="F56" s="5">
        <f>AVERAGE(F50:F55)</f>
        <v>4.5055555555555555</v>
      </c>
      <c r="G56" s="5">
        <f>AVERAGE(G50:G55)</f>
        <v>3.6583333333333332</v>
      </c>
    </row>
  </sheetData>
  <mergeCells count="4">
    <mergeCell ref="A1:C1"/>
    <mergeCell ref="E1:J1"/>
    <mergeCell ref="E20:J20"/>
    <mergeCell ref="E48:G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2026-04-03T16:29:53Z</dcterms:modified>
</cp:coreProperties>
</file>