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Университет\University\4 курс\Metrology\"/>
    </mc:Choice>
  </mc:AlternateContent>
  <xr:revisionPtr revIDLastSave="0" documentId="13_ncr:1_{2248B97D-9593-471C-8CE5-0BF86DF6B2B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12" i="1" l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11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33" i="1"/>
  <c r="Y34" i="1"/>
  <c r="Z34" i="1"/>
  <c r="AA34" i="1"/>
  <c r="AB34" i="1"/>
  <c r="Y35" i="1"/>
  <c r="Z35" i="1"/>
  <c r="AA35" i="1"/>
  <c r="AB35" i="1"/>
  <c r="Y36" i="1"/>
  <c r="Z36" i="1"/>
  <c r="AA36" i="1"/>
  <c r="AB36" i="1"/>
  <c r="Y37" i="1"/>
  <c r="Z37" i="1"/>
  <c r="AA37" i="1"/>
  <c r="AB37" i="1"/>
  <c r="Y38" i="1"/>
  <c r="Z38" i="1"/>
  <c r="AA38" i="1"/>
  <c r="AB38" i="1"/>
  <c r="Y39" i="1"/>
  <c r="Z39" i="1"/>
  <c r="AA39" i="1"/>
  <c r="AB39" i="1"/>
  <c r="Y40" i="1"/>
  <c r="Z40" i="1"/>
  <c r="AA40" i="1"/>
  <c r="AB40" i="1"/>
  <c r="Y41" i="1"/>
  <c r="Z41" i="1"/>
  <c r="AA41" i="1"/>
  <c r="AB41" i="1"/>
  <c r="Y42" i="1"/>
  <c r="Z42" i="1"/>
  <c r="AA42" i="1"/>
  <c r="AB42" i="1"/>
  <c r="Y43" i="1"/>
  <c r="Z43" i="1"/>
  <c r="AA43" i="1"/>
  <c r="AB43" i="1"/>
  <c r="Y44" i="1"/>
  <c r="Z44" i="1"/>
  <c r="AA44" i="1"/>
  <c r="AB44" i="1"/>
  <c r="Y45" i="1"/>
  <c r="Z45" i="1"/>
  <c r="AA45" i="1"/>
  <c r="AB45" i="1"/>
  <c r="Y46" i="1"/>
  <c r="Z46" i="1"/>
  <c r="AA46" i="1"/>
  <c r="AB46" i="1"/>
  <c r="Y47" i="1"/>
  <c r="Z47" i="1"/>
  <c r="AA47" i="1"/>
  <c r="AB47" i="1"/>
  <c r="Z33" i="1"/>
  <c r="AA33" i="1"/>
  <c r="AB33" i="1"/>
  <c r="Y33" i="1"/>
  <c r="S33" i="1"/>
  <c r="W33" i="1" s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S34" i="1"/>
  <c r="T34" i="1"/>
  <c r="U34" i="1"/>
  <c r="V34" i="1"/>
  <c r="S35" i="1"/>
  <c r="T35" i="1"/>
  <c r="U35" i="1"/>
  <c r="V35" i="1"/>
  <c r="S36" i="1"/>
  <c r="T36" i="1"/>
  <c r="U36" i="1"/>
  <c r="V36" i="1"/>
  <c r="S37" i="1"/>
  <c r="T37" i="1"/>
  <c r="U37" i="1"/>
  <c r="V37" i="1"/>
  <c r="S38" i="1"/>
  <c r="T38" i="1"/>
  <c r="U38" i="1"/>
  <c r="V38" i="1"/>
  <c r="S39" i="1"/>
  <c r="T39" i="1"/>
  <c r="U39" i="1"/>
  <c r="V39" i="1"/>
  <c r="S40" i="1"/>
  <c r="T40" i="1"/>
  <c r="U40" i="1"/>
  <c r="V40" i="1"/>
  <c r="S41" i="1"/>
  <c r="T41" i="1"/>
  <c r="U41" i="1"/>
  <c r="V41" i="1"/>
  <c r="S42" i="1"/>
  <c r="T42" i="1"/>
  <c r="U42" i="1"/>
  <c r="V42" i="1"/>
  <c r="S43" i="1"/>
  <c r="T43" i="1"/>
  <c r="U43" i="1"/>
  <c r="V43" i="1"/>
  <c r="S44" i="1"/>
  <c r="T44" i="1"/>
  <c r="U44" i="1"/>
  <c r="V44" i="1"/>
  <c r="S45" i="1"/>
  <c r="T45" i="1"/>
  <c r="U45" i="1"/>
  <c r="V45" i="1"/>
  <c r="S46" i="1"/>
  <c r="T46" i="1"/>
  <c r="U46" i="1"/>
  <c r="V46" i="1"/>
  <c r="S47" i="1"/>
  <c r="T47" i="1"/>
  <c r="U47" i="1"/>
  <c r="V47" i="1"/>
  <c r="T33" i="1"/>
  <c r="U33" i="1"/>
  <c r="V3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<sst xmlns="http://schemas.openxmlformats.org/spreadsheetml/2006/main" count="93" uniqueCount="22">
  <si>
    <t>Варианты заданий по циклам дисциплин</t>
  </si>
  <si>
    <t>Вариант задания</t>
  </si>
  <si>
    <t>Номер колонок из табл. 1.4 по циклам</t>
  </si>
  <si>
    <t>Ф.И.О. Студента</t>
  </si>
  <si>
    <t>ГСЭ</t>
  </si>
  <si>
    <t>EН</t>
  </si>
  <si>
    <t>ОП</t>
  </si>
  <si>
    <t>СД</t>
  </si>
  <si>
    <t>Речук Д.М.</t>
  </si>
  <si>
    <t>Таблица исходных данных</t>
  </si>
  <si>
    <t>№ п/п</t>
  </si>
  <si>
    <t>№ колонок</t>
  </si>
  <si>
    <t>Таблица исходных данных по варианту</t>
  </si>
  <si>
    <t>Результаты оценки уровня подготовки специалистов</t>
  </si>
  <si>
    <t>№ студента по журналу</t>
  </si>
  <si>
    <t>Аттестация</t>
  </si>
  <si>
    <t>q</t>
  </si>
  <si>
    <t>Циклы</t>
  </si>
  <si>
    <t>ЕН</t>
  </si>
  <si>
    <t>В</t>
  </si>
  <si>
    <t>Н</t>
  </si>
  <si>
    <t>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</si>
</sst>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2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7"/>
  <sheetViews>
    <sheetView tabSelected="1" zoomScale="105" zoomScaleNormal="105" workbookViewId="0">
      <selection activeCell="S8" sqref="S8:Z25"/>
    </sheetView>
  </sheetViews>
  <sheetFormatPr defaultRowHeight="15" x14ac:dyDescent="0.25"/>
  <cols>
    <col min="1" max="1" width="10.28515625" customWidth="1"/>
    <col min="2" max="3" width="10.7109375" customWidth="1"/>
    <col min="4" max="4" width="11.42578125" customWidth="1"/>
    <col min="5" max="5" width="11.28515625" customWidth="1"/>
    <col min="6" max="6" width="12.85546875" customWidth="1"/>
    <col min="20" max="20" width="12.140625" customWidth="1"/>
    <col min="25" max="25" width="9.140625" customWidth="1"/>
    <col min="26" max="26" width="11.5703125" customWidth="1"/>
  </cols>
  <sheetData>
    <row r="1" spans="1:29" ht="15.75" x14ac:dyDescent="0.25">
      <c r="A1" s="8" t="s">
        <v>0</v>
      </c>
      <c r="B1" s="8"/>
      <c r="C1" s="8"/>
      <c r="D1" s="8"/>
      <c r="E1" s="8"/>
      <c r="F1" s="8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x14ac:dyDescent="0.25">
      <c r="A2" s="9" t="s">
        <v>1</v>
      </c>
      <c r="B2" s="8" t="s">
        <v>2</v>
      </c>
      <c r="C2" s="8"/>
      <c r="D2" s="8"/>
      <c r="E2" s="8"/>
      <c r="F2" s="9" t="s">
        <v>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x14ac:dyDescent="0.25">
      <c r="A3" s="9"/>
      <c r="B3" s="2" t="s">
        <v>4</v>
      </c>
      <c r="C3" s="2" t="s">
        <v>5</v>
      </c>
      <c r="D3" s="2" t="s">
        <v>6</v>
      </c>
      <c r="E3" s="2" t="s">
        <v>7</v>
      </c>
      <c r="F3" s="9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x14ac:dyDescent="0.25">
      <c r="A4" s="2">
        <v>7</v>
      </c>
      <c r="B4" s="2">
        <v>7</v>
      </c>
      <c r="C4" s="2">
        <v>8</v>
      </c>
      <c r="D4" s="2">
        <v>9</v>
      </c>
      <c r="E4" s="2">
        <v>0</v>
      </c>
      <c r="F4" s="2" t="s">
        <v>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x14ac:dyDescent="0.25">
      <c r="A7" s="8" t="s">
        <v>9</v>
      </c>
      <c r="B7" s="8"/>
      <c r="C7" s="8"/>
      <c r="D7" s="8"/>
      <c r="E7" s="8"/>
      <c r="F7" s="8"/>
      <c r="G7" s="8"/>
      <c r="H7" s="8"/>
      <c r="I7" s="8"/>
      <c r="J7" s="8"/>
      <c r="K7" s="8"/>
      <c r="L7" s="3"/>
      <c r="M7" s="7" t="s">
        <v>12</v>
      </c>
      <c r="N7" s="7"/>
      <c r="O7" s="7"/>
      <c r="P7" s="7"/>
      <c r="Q7" s="7"/>
      <c r="R7" s="3"/>
      <c r="S7" s="8" t="s">
        <v>13</v>
      </c>
      <c r="T7" s="8"/>
      <c r="U7" s="8"/>
      <c r="V7" s="8"/>
      <c r="W7" s="8"/>
      <c r="X7" s="8"/>
      <c r="Y7" s="8"/>
      <c r="Z7" s="8"/>
      <c r="AA7" s="3"/>
      <c r="AB7" s="3"/>
      <c r="AC7" s="3"/>
    </row>
    <row r="8" spans="1:29" ht="15.75" x14ac:dyDescent="0.25">
      <c r="A8" s="9" t="s">
        <v>10</v>
      </c>
      <c r="B8" s="8" t="s">
        <v>11</v>
      </c>
      <c r="C8" s="8"/>
      <c r="D8" s="8"/>
      <c r="E8" s="8"/>
      <c r="F8" s="8"/>
      <c r="G8" s="8"/>
      <c r="H8" s="8"/>
      <c r="I8" s="8"/>
      <c r="J8" s="8"/>
      <c r="K8" s="8"/>
      <c r="L8" s="3"/>
      <c r="M8" s="7" t="s">
        <v>10</v>
      </c>
      <c r="N8" s="7" t="s">
        <v>11</v>
      </c>
      <c r="O8" s="7"/>
      <c r="P8" s="7"/>
      <c r="Q8" s="7"/>
      <c r="R8" s="3"/>
      <c r="S8" s="8" t="s">
        <v>10</v>
      </c>
      <c r="T8" s="9" t="s">
        <v>14</v>
      </c>
      <c r="U8" s="8" t="s">
        <v>17</v>
      </c>
      <c r="V8" s="8"/>
      <c r="W8" s="8"/>
      <c r="X8" s="8"/>
      <c r="Y8" s="8" t="s">
        <v>16</v>
      </c>
      <c r="Z8" s="8" t="s">
        <v>15</v>
      </c>
      <c r="AA8" s="3"/>
      <c r="AB8" s="3"/>
      <c r="AC8" s="3"/>
    </row>
    <row r="9" spans="1:29" ht="15.75" x14ac:dyDescent="0.25">
      <c r="A9" s="9"/>
      <c r="B9" s="2">
        <v>1</v>
      </c>
      <c r="C9" s="2">
        <v>2</v>
      </c>
      <c r="D9" s="2">
        <v>3</v>
      </c>
      <c r="E9" s="2">
        <v>4</v>
      </c>
      <c r="F9" s="2">
        <v>5</v>
      </c>
      <c r="G9" s="2">
        <v>6</v>
      </c>
      <c r="H9" s="2">
        <v>7</v>
      </c>
      <c r="I9" s="2">
        <v>8</v>
      </c>
      <c r="J9" s="2">
        <v>9</v>
      </c>
      <c r="K9" s="2">
        <v>0</v>
      </c>
      <c r="L9" s="3"/>
      <c r="M9" s="7"/>
      <c r="N9" s="2">
        <v>7</v>
      </c>
      <c r="O9" s="2">
        <v>8</v>
      </c>
      <c r="P9" s="2">
        <v>9</v>
      </c>
      <c r="Q9" s="2">
        <v>0</v>
      </c>
      <c r="R9" s="3"/>
      <c r="S9" s="8"/>
      <c r="T9" s="9"/>
      <c r="U9" s="2" t="s">
        <v>4</v>
      </c>
      <c r="V9" s="2" t="s">
        <v>18</v>
      </c>
      <c r="W9" s="2" t="s">
        <v>6</v>
      </c>
      <c r="X9" s="2" t="s">
        <v>7</v>
      </c>
      <c r="Y9" s="8"/>
      <c r="Z9" s="8"/>
      <c r="AA9" s="3"/>
      <c r="AB9" s="3"/>
      <c r="AC9" s="3"/>
    </row>
    <row r="10" spans="1:29" ht="30.75" customHeight="1" x14ac:dyDescent="0.25">
      <c r="A10" s="2">
        <v>1</v>
      </c>
      <c r="B10" s="2">
        <v>4</v>
      </c>
      <c r="C10" s="2">
        <v>4</v>
      </c>
      <c r="D10" s="2">
        <v>5</v>
      </c>
      <c r="E10" s="2">
        <v>3</v>
      </c>
      <c r="F10" s="2">
        <v>4</v>
      </c>
      <c r="G10" s="2">
        <v>5</v>
      </c>
      <c r="H10" s="2">
        <v>5</v>
      </c>
      <c r="I10" s="2">
        <v>4</v>
      </c>
      <c r="J10" s="2">
        <v>5</v>
      </c>
      <c r="K10" s="2">
        <v>3</v>
      </c>
      <c r="L10" s="3"/>
      <c r="M10" s="2">
        <v>1</v>
      </c>
      <c r="N10" s="2">
        <v>5</v>
      </c>
      <c r="O10" s="2">
        <v>4</v>
      </c>
      <c r="P10" s="2">
        <v>5</v>
      </c>
      <c r="Q10" s="2">
        <v>3</v>
      </c>
      <c r="R10" s="3"/>
      <c r="S10" s="8"/>
      <c r="T10" s="9"/>
      <c r="U10" s="2">
        <v>0.21</v>
      </c>
      <c r="V10" s="2">
        <v>0.24</v>
      </c>
      <c r="W10" s="2">
        <v>0.26</v>
      </c>
      <c r="X10" s="2">
        <v>0.28999999999999998</v>
      </c>
      <c r="Y10" s="8"/>
      <c r="Z10" s="8"/>
      <c r="AA10" s="3"/>
      <c r="AB10" s="3"/>
      <c r="AC10" s="3"/>
    </row>
    <row r="11" spans="1:29" ht="15.75" x14ac:dyDescent="0.25">
      <c r="A11" s="2">
        <v>2</v>
      </c>
      <c r="B11" s="2">
        <v>4</v>
      </c>
      <c r="C11" s="2">
        <v>4</v>
      </c>
      <c r="D11" s="2">
        <v>5</v>
      </c>
      <c r="E11" s="2">
        <v>4</v>
      </c>
      <c r="F11" s="2">
        <v>5</v>
      </c>
      <c r="G11" s="2">
        <v>4</v>
      </c>
      <c r="H11" s="2">
        <v>4</v>
      </c>
      <c r="I11" s="2">
        <v>5</v>
      </c>
      <c r="J11" s="2">
        <v>4</v>
      </c>
      <c r="K11" s="2">
        <v>4</v>
      </c>
      <c r="L11" s="3"/>
      <c r="M11" s="2">
        <v>2</v>
      </c>
      <c r="N11" s="2">
        <v>4</v>
      </c>
      <c r="O11" s="2">
        <v>5</v>
      </c>
      <c r="P11" s="2">
        <v>4</v>
      </c>
      <c r="Q11" s="2">
        <v>4</v>
      </c>
      <c r="R11" s="3"/>
      <c r="S11" s="1">
        <v>1</v>
      </c>
      <c r="T11" s="2">
        <v>3</v>
      </c>
      <c r="U11" s="2" t="s">
        <v>19</v>
      </c>
      <c r="V11" s="2" t="s">
        <v>20</v>
      </c>
      <c r="W11" s="2" t="s">
        <v>21</v>
      </c>
      <c r="X11" s="2" t="s">
        <v>19</v>
      </c>
      <c r="Y11" s="2">
        <f>1-W33-0.5*AC33</f>
        <v>0.63</v>
      </c>
      <c r="Z11" s="2" t="str">
        <f>IF(Y11&gt;=0.5,"Атт.","Не атт.")</f>
        <v>Атт.</v>
      </c>
      <c r="AA11" s="3"/>
      <c r="AB11" s="3"/>
      <c r="AC11" s="3"/>
    </row>
    <row r="12" spans="1:29" ht="15.75" x14ac:dyDescent="0.25">
      <c r="A12" s="2">
        <v>3</v>
      </c>
      <c r="B12" s="2">
        <v>5</v>
      </c>
      <c r="C12" s="2">
        <v>3</v>
      </c>
      <c r="D12" s="2">
        <v>4</v>
      </c>
      <c r="E12" s="2">
        <v>5</v>
      </c>
      <c r="F12" s="2">
        <v>4</v>
      </c>
      <c r="G12" s="2">
        <v>4</v>
      </c>
      <c r="H12" s="2">
        <v>5</v>
      </c>
      <c r="I12" s="2">
        <v>3</v>
      </c>
      <c r="J12" s="2">
        <v>4</v>
      </c>
      <c r="K12" s="2">
        <v>5</v>
      </c>
      <c r="L12" s="3"/>
      <c r="M12" s="2">
        <v>3</v>
      </c>
      <c r="N12" s="2">
        <v>5</v>
      </c>
      <c r="O12" s="2">
        <v>3</v>
      </c>
      <c r="P12" s="2">
        <v>4</v>
      </c>
      <c r="Q12" s="2">
        <v>5</v>
      </c>
      <c r="R12" s="3"/>
      <c r="S12" s="1">
        <v>2</v>
      </c>
      <c r="T12" s="2">
        <v>17</v>
      </c>
      <c r="U12" s="2" t="s">
        <v>19</v>
      </c>
      <c r="V12" s="2" t="s">
        <v>21</v>
      </c>
      <c r="W12" s="2" t="s">
        <v>21</v>
      </c>
      <c r="X12" s="2" t="s">
        <v>20</v>
      </c>
      <c r="Y12" s="2">
        <f t="shared" ref="Y12:Y25" si="0">1-W34-0.5*AC34</f>
        <v>0.45999999999999996</v>
      </c>
      <c r="Z12" s="2" t="str">
        <f t="shared" ref="Z12:Z25" si="1">IF(Y12&gt;=0.5,"Атт.","Не атт.")</f>
        <v>Не атт.</v>
      </c>
      <c r="AA12" s="3"/>
      <c r="AB12" s="3"/>
      <c r="AC12" s="3"/>
    </row>
    <row r="13" spans="1:29" ht="15.75" x14ac:dyDescent="0.25">
      <c r="A13" s="2">
        <v>4</v>
      </c>
      <c r="B13" s="2">
        <v>4</v>
      </c>
      <c r="C13" s="2">
        <v>5</v>
      </c>
      <c r="D13" s="2">
        <v>3</v>
      </c>
      <c r="E13" s="2">
        <v>5</v>
      </c>
      <c r="F13" s="2">
        <v>5</v>
      </c>
      <c r="G13" s="2">
        <v>5</v>
      </c>
      <c r="H13" s="2">
        <v>3</v>
      </c>
      <c r="I13" s="2">
        <v>5</v>
      </c>
      <c r="J13" s="2">
        <v>4</v>
      </c>
      <c r="K13" s="2">
        <v>5</v>
      </c>
      <c r="L13" s="3"/>
      <c r="M13" s="2">
        <v>4</v>
      </c>
      <c r="N13" s="2">
        <v>3</v>
      </c>
      <c r="O13" s="2">
        <v>5</v>
      </c>
      <c r="P13" s="2">
        <v>4</v>
      </c>
      <c r="Q13" s="2">
        <v>5</v>
      </c>
      <c r="R13" s="3"/>
      <c r="S13" s="1">
        <v>3</v>
      </c>
      <c r="T13" s="2">
        <v>5</v>
      </c>
      <c r="U13" s="2" t="s">
        <v>21</v>
      </c>
      <c r="V13" s="2" t="s">
        <v>19</v>
      </c>
      <c r="W13" s="2" t="s">
        <v>20</v>
      </c>
      <c r="X13" s="2" t="s">
        <v>21</v>
      </c>
      <c r="Y13" s="2">
        <f t="shared" si="0"/>
        <v>0.49</v>
      </c>
      <c r="Z13" s="2" t="str">
        <f t="shared" si="1"/>
        <v>Не атт.</v>
      </c>
      <c r="AA13" s="3"/>
      <c r="AB13" s="3"/>
      <c r="AC13" s="3"/>
    </row>
    <row r="14" spans="1:29" ht="15.75" x14ac:dyDescent="0.25">
      <c r="A14" s="2">
        <v>5</v>
      </c>
      <c r="B14" s="2">
        <v>4</v>
      </c>
      <c r="C14" s="2">
        <v>5</v>
      </c>
      <c r="D14" s="2">
        <v>4</v>
      </c>
      <c r="E14" s="2">
        <v>4</v>
      </c>
      <c r="F14" s="2">
        <v>5</v>
      </c>
      <c r="G14" s="2">
        <v>3</v>
      </c>
      <c r="H14" s="2">
        <v>4</v>
      </c>
      <c r="I14" s="2">
        <v>5</v>
      </c>
      <c r="J14" s="2">
        <v>3</v>
      </c>
      <c r="K14" s="2">
        <v>4</v>
      </c>
      <c r="L14" s="3"/>
      <c r="M14" s="2">
        <v>5</v>
      </c>
      <c r="N14" s="2">
        <v>4</v>
      </c>
      <c r="O14" s="2">
        <v>5</v>
      </c>
      <c r="P14" s="2">
        <v>3</v>
      </c>
      <c r="Q14" s="2">
        <v>4</v>
      </c>
      <c r="R14" s="3"/>
      <c r="S14" s="1">
        <v>4</v>
      </c>
      <c r="T14" s="2">
        <v>22</v>
      </c>
      <c r="U14" s="2" t="s">
        <v>20</v>
      </c>
      <c r="V14" s="2" t="s">
        <v>20</v>
      </c>
      <c r="W14" s="2" t="s">
        <v>21</v>
      </c>
      <c r="X14" s="2" t="s">
        <v>21</v>
      </c>
      <c r="Y14" s="2">
        <f t="shared" si="0"/>
        <v>0.27500000000000002</v>
      </c>
      <c r="Z14" s="2" t="str">
        <f t="shared" si="1"/>
        <v>Не атт.</v>
      </c>
      <c r="AA14" s="3"/>
      <c r="AB14" s="3"/>
      <c r="AC14" s="3"/>
    </row>
    <row r="15" spans="1:29" ht="15.75" x14ac:dyDescent="0.25">
      <c r="A15" s="2">
        <v>6</v>
      </c>
      <c r="B15" s="2">
        <v>5</v>
      </c>
      <c r="C15" s="2">
        <v>4</v>
      </c>
      <c r="D15" s="2">
        <v>5</v>
      </c>
      <c r="E15" s="2">
        <v>5</v>
      </c>
      <c r="F15" s="2">
        <v>4</v>
      </c>
      <c r="G15" s="2">
        <v>5</v>
      </c>
      <c r="H15" s="2">
        <v>5</v>
      </c>
      <c r="I15" s="2">
        <v>4</v>
      </c>
      <c r="J15" s="2">
        <v>5</v>
      </c>
      <c r="K15" s="2">
        <v>5</v>
      </c>
      <c r="L15" s="3"/>
      <c r="M15" s="2">
        <v>6</v>
      </c>
      <c r="N15" s="2">
        <v>5</v>
      </c>
      <c r="O15" s="2">
        <v>4</v>
      </c>
      <c r="P15" s="2">
        <v>5</v>
      </c>
      <c r="Q15" s="2">
        <v>5</v>
      </c>
      <c r="R15" s="3"/>
      <c r="S15" s="1">
        <v>5</v>
      </c>
      <c r="T15" s="2">
        <v>9</v>
      </c>
      <c r="U15" s="2" t="s">
        <v>19</v>
      </c>
      <c r="V15" s="2" t="s">
        <v>19</v>
      </c>
      <c r="W15" s="2" t="s">
        <v>21</v>
      </c>
      <c r="X15" s="2" t="s">
        <v>21</v>
      </c>
      <c r="Y15" s="2">
        <f t="shared" si="0"/>
        <v>0.72499999999999998</v>
      </c>
      <c r="Z15" s="2" t="str">
        <f t="shared" si="1"/>
        <v>Атт.</v>
      </c>
      <c r="AA15" s="3"/>
      <c r="AB15" s="3"/>
      <c r="AC15" s="3"/>
    </row>
    <row r="16" spans="1:29" ht="15.75" x14ac:dyDescent="0.25">
      <c r="A16" s="2">
        <v>7</v>
      </c>
      <c r="B16" s="2">
        <v>3</v>
      </c>
      <c r="C16" s="2">
        <v>5</v>
      </c>
      <c r="D16" s="2">
        <v>4</v>
      </c>
      <c r="E16" s="2">
        <v>4</v>
      </c>
      <c r="F16" s="2">
        <v>5</v>
      </c>
      <c r="G16" s="2">
        <v>5</v>
      </c>
      <c r="H16" s="2">
        <v>5</v>
      </c>
      <c r="I16" s="2">
        <v>3</v>
      </c>
      <c r="J16" s="2">
        <v>4</v>
      </c>
      <c r="K16" s="2">
        <v>4</v>
      </c>
      <c r="L16" s="3"/>
      <c r="M16" s="2">
        <v>7</v>
      </c>
      <c r="N16" s="2">
        <v>5</v>
      </c>
      <c r="O16" s="2">
        <v>3</v>
      </c>
      <c r="P16" s="2">
        <v>4</v>
      </c>
      <c r="Q16" s="2">
        <v>4</v>
      </c>
      <c r="R16" s="3"/>
      <c r="S16" s="1">
        <v>6</v>
      </c>
      <c r="T16" s="2">
        <v>14</v>
      </c>
      <c r="U16" s="2" t="s">
        <v>21</v>
      </c>
      <c r="V16" s="2" t="s">
        <v>19</v>
      </c>
      <c r="W16" s="2" t="s">
        <v>19</v>
      </c>
      <c r="X16" s="2" t="s">
        <v>20</v>
      </c>
      <c r="Y16" s="2">
        <f t="shared" si="0"/>
        <v>0.60499999999999998</v>
      </c>
      <c r="Z16" s="2" t="str">
        <f t="shared" si="1"/>
        <v>Атт.</v>
      </c>
      <c r="AA16" s="3"/>
      <c r="AB16" s="3"/>
      <c r="AC16" s="3"/>
    </row>
    <row r="17" spans="1:29" ht="15.75" x14ac:dyDescent="0.25">
      <c r="A17" s="2">
        <v>8</v>
      </c>
      <c r="B17" s="2">
        <v>4</v>
      </c>
      <c r="C17" s="2">
        <v>4</v>
      </c>
      <c r="D17" s="2">
        <v>4</v>
      </c>
      <c r="E17" s="2">
        <v>5</v>
      </c>
      <c r="F17" s="2">
        <v>5</v>
      </c>
      <c r="G17" s="2">
        <v>5</v>
      </c>
      <c r="H17" s="2">
        <v>3</v>
      </c>
      <c r="I17" s="2">
        <v>5</v>
      </c>
      <c r="J17" s="2">
        <v>3</v>
      </c>
      <c r="K17" s="2">
        <v>4</v>
      </c>
      <c r="L17" s="3"/>
      <c r="M17" s="2">
        <v>8</v>
      </c>
      <c r="N17" s="2">
        <v>3</v>
      </c>
      <c r="O17" s="2">
        <v>5</v>
      </c>
      <c r="P17" s="2">
        <v>3</v>
      </c>
      <c r="Q17" s="2">
        <v>4</v>
      </c>
      <c r="R17" s="3"/>
      <c r="S17" s="1">
        <v>7</v>
      </c>
      <c r="T17" s="2">
        <v>1</v>
      </c>
      <c r="U17" s="2" t="s">
        <v>19</v>
      </c>
      <c r="V17" s="2" t="s">
        <v>21</v>
      </c>
      <c r="W17" s="2" t="s">
        <v>19</v>
      </c>
      <c r="X17" s="2" t="s">
        <v>20</v>
      </c>
      <c r="Y17" s="2">
        <f t="shared" si="0"/>
        <v>0.59</v>
      </c>
      <c r="Z17" s="2" t="str">
        <f t="shared" si="1"/>
        <v>Атт.</v>
      </c>
      <c r="AA17" s="3"/>
      <c r="AB17" s="3"/>
      <c r="AC17" s="3"/>
    </row>
    <row r="18" spans="1:29" ht="15.75" x14ac:dyDescent="0.25">
      <c r="A18" s="2">
        <v>9</v>
      </c>
      <c r="B18" s="2">
        <v>5</v>
      </c>
      <c r="C18" s="2">
        <v>5</v>
      </c>
      <c r="D18" s="2">
        <v>5</v>
      </c>
      <c r="E18" s="2">
        <v>5</v>
      </c>
      <c r="F18" s="2">
        <v>5</v>
      </c>
      <c r="G18" s="2">
        <v>3</v>
      </c>
      <c r="H18" s="2">
        <v>5</v>
      </c>
      <c r="I18" s="2">
        <v>5</v>
      </c>
      <c r="J18" s="2">
        <v>4</v>
      </c>
      <c r="K18" s="2">
        <v>4</v>
      </c>
      <c r="L18" s="3"/>
      <c r="M18" s="2">
        <v>9</v>
      </c>
      <c r="N18" s="2">
        <v>5</v>
      </c>
      <c r="O18" s="2">
        <v>5</v>
      </c>
      <c r="P18" s="2">
        <v>4</v>
      </c>
      <c r="Q18" s="2">
        <v>4</v>
      </c>
      <c r="R18" s="3"/>
      <c r="S18" s="1">
        <v>8</v>
      </c>
      <c r="T18" s="2">
        <v>2</v>
      </c>
      <c r="U18" s="2" t="s">
        <v>21</v>
      </c>
      <c r="V18" s="2" t="s">
        <v>19</v>
      </c>
      <c r="W18" s="2" t="s">
        <v>21</v>
      </c>
      <c r="X18" s="2" t="s">
        <v>21</v>
      </c>
      <c r="Y18" s="2">
        <f t="shared" si="0"/>
        <v>0.62</v>
      </c>
      <c r="Z18" s="2" t="str">
        <f t="shared" si="1"/>
        <v>Атт.</v>
      </c>
      <c r="AA18" s="3"/>
      <c r="AB18" s="3"/>
      <c r="AC18" s="3"/>
    </row>
    <row r="19" spans="1:29" ht="15.75" x14ac:dyDescent="0.25">
      <c r="A19" s="2">
        <v>10</v>
      </c>
      <c r="B19" s="2">
        <v>3</v>
      </c>
      <c r="C19" s="2">
        <v>5</v>
      </c>
      <c r="D19" s="2">
        <v>3</v>
      </c>
      <c r="E19" s="2">
        <v>4</v>
      </c>
      <c r="F19" s="2">
        <v>4</v>
      </c>
      <c r="G19" s="2">
        <v>4</v>
      </c>
      <c r="H19" s="2">
        <v>5</v>
      </c>
      <c r="I19" s="2">
        <v>5</v>
      </c>
      <c r="J19" s="2">
        <v>5</v>
      </c>
      <c r="K19" s="2">
        <v>4</v>
      </c>
      <c r="L19" s="3"/>
      <c r="M19" s="2">
        <v>10</v>
      </c>
      <c r="N19" s="2">
        <v>5</v>
      </c>
      <c r="O19" s="2">
        <v>5</v>
      </c>
      <c r="P19" s="2">
        <v>5</v>
      </c>
      <c r="Q19" s="2">
        <v>4</v>
      </c>
      <c r="R19" s="3"/>
      <c r="S19" s="1">
        <v>9</v>
      </c>
      <c r="T19" s="2">
        <v>11</v>
      </c>
      <c r="U19" s="2" t="s">
        <v>19</v>
      </c>
      <c r="V19" s="2" t="s">
        <v>19</v>
      </c>
      <c r="W19" s="2" t="s">
        <v>19</v>
      </c>
      <c r="X19" s="2" t="s">
        <v>19</v>
      </c>
      <c r="Y19" s="2">
        <f t="shared" si="0"/>
        <v>1</v>
      </c>
      <c r="Z19" s="2" t="str">
        <f t="shared" si="1"/>
        <v>Атт.</v>
      </c>
      <c r="AA19" s="3"/>
      <c r="AB19" s="3"/>
      <c r="AC19" s="3"/>
    </row>
    <row r="20" spans="1:29" ht="15.75" x14ac:dyDescent="0.25">
      <c r="A20" s="2">
        <v>11</v>
      </c>
      <c r="B20" s="2">
        <v>3</v>
      </c>
      <c r="C20" s="2">
        <v>3</v>
      </c>
      <c r="D20" s="2">
        <v>4</v>
      </c>
      <c r="E20" s="2">
        <v>4</v>
      </c>
      <c r="F20" s="2">
        <v>4</v>
      </c>
      <c r="G20" s="2">
        <v>4</v>
      </c>
      <c r="H20" s="2">
        <v>5</v>
      </c>
      <c r="I20" s="2">
        <v>5</v>
      </c>
      <c r="J20" s="2">
        <v>5</v>
      </c>
      <c r="K20" s="2">
        <v>5</v>
      </c>
      <c r="L20" s="3"/>
      <c r="M20" s="2">
        <v>11</v>
      </c>
      <c r="N20" s="2">
        <v>5</v>
      </c>
      <c r="O20" s="2">
        <v>5</v>
      </c>
      <c r="P20" s="2">
        <v>5</v>
      </c>
      <c r="Q20" s="2">
        <v>5</v>
      </c>
      <c r="R20" s="3"/>
      <c r="S20" s="1">
        <v>10</v>
      </c>
      <c r="T20" s="2">
        <v>7</v>
      </c>
      <c r="U20" s="2" t="s">
        <v>19</v>
      </c>
      <c r="V20" s="2" t="s">
        <v>20</v>
      </c>
      <c r="W20" s="2" t="s">
        <v>21</v>
      </c>
      <c r="X20" s="2" t="s">
        <v>21</v>
      </c>
      <c r="Y20" s="2">
        <f t="shared" si="0"/>
        <v>0.48499999999999999</v>
      </c>
      <c r="Z20" s="2" t="str">
        <f t="shared" si="1"/>
        <v>Не атт.</v>
      </c>
      <c r="AA20" s="3"/>
      <c r="AB20" s="3"/>
      <c r="AC20" s="3"/>
    </row>
    <row r="21" spans="1:29" ht="15.75" x14ac:dyDescent="0.25">
      <c r="A21" s="2">
        <v>12</v>
      </c>
      <c r="B21" s="2">
        <v>4</v>
      </c>
      <c r="C21" s="2">
        <v>4</v>
      </c>
      <c r="D21" s="2">
        <v>4</v>
      </c>
      <c r="E21" s="2">
        <v>4</v>
      </c>
      <c r="F21" s="2">
        <v>5</v>
      </c>
      <c r="G21" s="2">
        <v>5</v>
      </c>
      <c r="H21" s="2">
        <v>5</v>
      </c>
      <c r="I21" s="2">
        <v>5</v>
      </c>
      <c r="J21" s="2">
        <v>3</v>
      </c>
      <c r="K21" s="2">
        <v>3</v>
      </c>
      <c r="L21" s="3"/>
      <c r="M21" s="2">
        <v>12</v>
      </c>
      <c r="N21" s="2">
        <v>5</v>
      </c>
      <c r="O21" s="2">
        <v>5</v>
      </c>
      <c r="P21" s="2">
        <v>3</v>
      </c>
      <c r="Q21" s="2">
        <v>3</v>
      </c>
      <c r="R21" s="3"/>
      <c r="S21" s="1">
        <v>11</v>
      </c>
      <c r="T21" s="2">
        <v>19</v>
      </c>
      <c r="U21" s="2" t="s">
        <v>20</v>
      </c>
      <c r="V21" s="2" t="s">
        <v>21</v>
      </c>
      <c r="W21" s="2" t="s">
        <v>21</v>
      </c>
      <c r="X21" s="2" t="s">
        <v>21</v>
      </c>
      <c r="Y21" s="2">
        <f t="shared" si="0"/>
        <v>0.39500000000000002</v>
      </c>
      <c r="Z21" s="2" t="str">
        <f t="shared" si="1"/>
        <v>Не атт.</v>
      </c>
      <c r="AA21" s="3"/>
      <c r="AB21" s="3"/>
      <c r="AC21" s="3"/>
    </row>
    <row r="22" spans="1:29" ht="15.75" x14ac:dyDescent="0.25">
      <c r="A22" s="2">
        <v>13</v>
      </c>
      <c r="B22" s="2">
        <v>4</v>
      </c>
      <c r="C22" s="2">
        <v>5</v>
      </c>
      <c r="D22" s="2">
        <v>3</v>
      </c>
      <c r="E22" s="2">
        <v>4</v>
      </c>
      <c r="F22" s="2">
        <v>4</v>
      </c>
      <c r="G22" s="2">
        <v>5</v>
      </c>
      <c r="H22" s="2">
        <v>5</v>
      </c>
      <c r="I22" s="2">
        <v>3</v>
      </c>
      <c r="J22" s="2">
        <v>4</v>
      </c>
      <c r="K22" s="2">
        <v>4</v>
      </c>
      <c r="L22" s="3"/>
      <c r="M22" s="2">
        <v>13</v>
      </c>
      <c r="N22" s="2">
        <v>5</v>
      </c>
      <c r="O22" s="2">
        <v>3</v>
      </c>
      <c r="P22" s="2">
        <v>4</v>
      </c>
      <c r="Q22" s="2">
        <v>4</v>
      </c>
      <c r="R22" s="3"/>
      <c r="S22" s="1">
        <v>12</v>
      </c>
      <c r="T22" s="2">
        <v>24</v>
      </c>
      <c r="U22" s="2" t="s">
        <v>21</v>
      </c>
      <c r="V22" s="2" t="s">
        <v>19</v>
      </c>
      <c r="W22" s="2" t="s">
        <v>21</v>
      </c>
      <c r="X22" s="2" t="s">
        <v>19</v>
      </c>
      <c r="Y22" s="2">
        <f t="shared" si="0"/>
        <v>0.76500000000000001</v>
      </c>
      <c r="Z22" s="2" t="str">
        <f t="shared" si="1"/>
        <v>Атт.</v>
      </c>
      <c r="AA22" s="3"/>
      <c r="AB22" s="3"/>
      <c r="AC22" s="3"/>
    </row>
    <row r="23" spans="1:29" ht="15.75" x14ac:dyDescent="0.25">
      <c r="A23" s="2">
        <v>14</v>
      </c>
      <c r="B23" s="2">
        <v>4</v>
      </c>
      <c r="C23" s="2">
        <v>4</v>
      </c>
      <c r="D23" s="2">
        <v>5</v>
      </c>
      <c r="E23" s="2">
        <v>5</v>
      </c>
      <c r="F23" s="2">
        <v>3</v>
      </c>
      <c r="G23" s="2">
        <v>4</v>
      </c>
      <c r="H23" s="2">
        <v>4</v>
      </c>
      <c r="I23" s="2">
        <v>5</v>
      </c>
      <c r="J23" s="2">
        <v>5</v>
      </c>
      <c r="K23" s="2">
        <v>3</v>
      </c>
      <c r="L23" s="3"/>
      <c r="M23" s="2">
        <v>14</v>
      </c>
      <c r="N23" s="2">
        <v>4</v>
      </c>
      <c r="O23" s="2">
        <v>5</v>
      </c>
      <c r="P23" s="2">
        <v>5</v>
      </c>
      <c r="Q23" s="2">
        <v>3</v>
      </c>
      <c r="R23" s="3"/>
      <c r="S23" s="1">
        <v>13</v>
      </c>
      <c r="T23" s="2">
        <v>6</v>
      </c>
      <c r="U23" s="2" t="s">
        <v>19</v>
      </c>
      <c r="V23" s="2" t="s">
        <v>20</v>
      </c>
      <c r="W23" s="2" t="s">
        <v>21</v>
      </c>
      <c r="X23" s="2" t="s">
        <v>21</v>
      </c>
      <c r="Y23" s="2">
        <f t="shared" si="0"/>
        <v>0.48499999999999999</v>
      </c>
      <c r="Z23" s="2" t="str">
        <f t="shared" si="1"/>
        <v>Не атт.</v>
      </c>
      <c r="AA23" s="3"/>
      <c r="AB23" s="3"/>
      <c r="AC23" s="3"/>
    </row>
    <row r="24" spans="1:29" ht="15.75" x14ac:dyDescent="0.25">
      <c r="A24" s="2">
        <v>15</v>
      </c>
      <c r="B24" s="2">
        <v>5</v>
      </c>
      <c r="C24" s="2">
        <v>5</v>
      </c>
      <c r="D24" s="2">
        <v>5</v>
      </c>
      <c r="E24" s="2">
        <v>3</v>
      </c>
      <c r="F24" s="2">
        <v>3</v>
      </c>
      <c r="G24" s="2">
        <v>4</v>
      </c>
      <c r="H24" s="2">
        <v>4</v>
      </c>
      <c r="I24" s="2">
        <v>4</v>
      </c>
      <c r="J24" s="2">
        <v>5</v>
      </c>
      <c r="K24" s="2">
        <v>5</v>
      </c>
      <c r="L24" s="3"/>
      <c r="M24" s="2">
        <v>15</v>
      </c>
      <c r="N24" s="2">
        <v>4</v>
      </c>
      <c r="O24" s="2">
        <v>4</v>
      </c>
      <c r="P24" s="2">
        <v>5</v>
      </c>
      <c r="Q24" s="2">
        <v>5</v>
      </c>
      <c r="R24" s="3"/>
      <c r="S24" s="1">
        <v>14</v>
      </c>
      <c r="T24" s="2">
        <v>15</v>
      </c>
      <c r="U24" s="2" t="s">
        <v>21</v>
      </c>
      <c r="V24" s="2" t="s">
        <v>21</v>
      </c>
      <c r="W24" s="2" t="s">
        <v>19</v>
      </c>
      <c r="X24" s="2" t="s">
        <v>19</v>
      </c>
      <c r="Y24" s="2">
        <f t="shared" si="0"/>
        <v>0.77500000000000002</v>
      </c>
      <c r="Z24" s="2" t="str">
        <f t="shared" si="1"/>
        <v>Атт.</v>
      </c>
      <c r="AA24" s="3"/>
      <c r="AB24" s="3"/>
      <c r="AC24" s="3"/>
    </row>
    <row r="25" spans="1:29" ht="15.75" x14ac:dyDescent="0.25">
      <c r="A25" s="2">
        <v>16</v>
      </c>
      <c r="B25" s="2">
        <v>5</v>
      </c>
      <c r="C25" s="2">
        <v>4</v>
      </c>
      <c r="D25" s="2">
        <v>3</v>
      </c>
      <c r="E25" s="2">
        <v>5</v>
      </c>
      <c r="F25" s="2">
        <v>4</v>
      </c>
      <c r="G25" s="2">
        <v>3</v>
      </c>
      <c r="H25" s="2">
        <v>5</v>
      </c>
      <c r="I25" s="2">
        <v>4</v>
      </c>
      <c r="J25" s="2">
        <v>5</v>
      </c>
      <c r="K25" s="2">
        <v>4</v>
      </c>
      <c r="L25" s="3"/>
      <c r="M25" s="2">
        <v>16</v>
      </c>
      <c r="N25" s="2">
        <v>5</v>
      </c>
      <c r="O25" s="2">
        <v>4</v>
      </c>
      <c r="P25" s="2">
        <v>5</v>
      </c>
      <c r="Q25" s="2">
        <v>4</v>
      </c>
      <c r="R25" s="3"/>
      <c r="S25" s="1">
        <v>15</v>
      </c>
      <c r="T25" s="2">
        <v>10</v>
      </c>
      <c r="U25" s="2" t="s">
        <v>19</v>
      </c>
      <c r="V25" s="2" t="s">
        <v>19</v>
      </c>
      <c r="W25" s="2" t="s">
        <v>19</v>
      </c>
      <c r="X25" s="2" t="s">
        <v>21</v>
      </c>
      <c r="Y25" s="2">
        <f t="shared" si="0"/>
        <v>0.85499999999999998</v>
      </c>
      <c r="Z25" s="2" t="str">
        <f t="shared" si="1"/>
        <v>Атт.</v>
      </c>
      <c r="AA25" s="3"/>
      <c r="AB25" s="3"/>
      <c r="AC25" s="3"/>
    </row>
    <row r="26" spans="1:29" ht="15.75" x14ac:dyDescent="0.25">
      <c r="A26" s="2">
        <v>17</v>
      </c>
      <c r="B26" s="2">
        <v>5</v>
      </c>
      <c r="C26" s="2">
        <v>5</v>
      </c>
      <c r="D26" s="2">
        <v>4</v>
      </c>
      <c r="E26" s="2">
        <v>4</v>
      </c>
      <c r="F26" s="2">
        <v>3</v>
      </c>
      <c r="G26" s="2">
        <v>5</v>
      </c>
      <c r="H26" s="2">
        <v>5</v>
      </c>
      <c r="I26" s="2">
        <v>4</v>
      </c>
      <c r="J26" s="2">
        <v>4</v>
      </c>
      <c r="K26" s="2">
        <v>3</v>
      </c>
      <c r="L26" s="3"/>
      <c r="M26" s="2">
        <v>17</v>
      </c>
      <c r="N26" s="2">
        <v>5</v>
      </c>
      <c r="O26" s="2">
        <v>4</v>
      </c>
      <c r="P26" s="2">
        <v>4</v>
      </c>
      <c r="Q26" s="2">
        <v>3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x14ac:dyDescent="0.25">
      <c r="A27" s="2">
        <v>18</v>
      </c>
      <c r="B27" s="2">
        <v>4</v>
      </c>
      <c r="C27" s="2">
        <v>4</v>
      </c>
      <c r="D27" s="2">
        <v>4</v>
      </c>
      <c r="E27" s="2">
        <v>5</v>
      </c>
      <c r="F27" s="2">
        <v>5</v>
      </c>
      <c r="G27" s="2">
        <v>5</v>
      </c>
      <c r="H27" s="2">
        <v>3</v>
      </c>
      <c r="I27" s="2">
        <v>3</v>
      </c>
      <c r="J27" s="2">
        <v>4</v>
      </c>
      <c r="K27" s="2">
        <v>4</v>
      </c>
      <c r="L27" s="3"/>
      <c r="M27" s="2">
        <v>18</v>
      </c>
      <c r="N27" s="2">
        <v>3</v>
      </c>
      <c r="O27" s="2">
        <v>3</v>
      </c>
      <c r="P27" s="2">
        <v>4</v>
      </c>
      <c r="Q27" s="2">
        <v>4</v>
      </c>
      <c r="R27" s="3"/>
      <c r="S27" s="6" t="e" vm="1">
        <v>#VALUE!</v>
      </c>
      <c r="T27" s="6"/>
      <c r="U27" s="6"/>
      <c r="V27" s="6"/>
      <c r="W27" s="6"/>
      <c r="X27" s="3"/>
      <c r="Y27" s="3"/>
      <c r="Z27" s="3"/>
      <c r="AA27" s="3"/>
      <c r="AB27" s="3"/>
      <c r="AC27" s="3"/>
    </row>
    <row r="28" spans="1:29" ht="15.75" x14ac:dyDescent="0.25">
      <c r="A28" s="2">
        <v>19</v>
      </c>
      <c r="B28" s="2">
        <v>4</v>
      </c>
      <c r="C28" s="2">
        <v>4</v>
      </c>
      <c r="D28" s="2">
        <v>5</v>
      </c>
      <c r="E28" s="2">
        <v>5</v>
      </c>
      <c r="F28" s="2">
        <v>5</v>
      </c>
      <c r="G28" s="2">
        <v>3</v>
      </c>
      <c r="H28" s="2">
        <v>3</v>
      </c>
      <c r="I28" s="2">
        <v>4</v>
      </c>
      <c r="J28" s="2">
        <v>4</v>
      </c>
      <c r="K28" s="2">
        <v>4</v>
      </c>
      <c r="L28" s="3"/>
      <c r="M28" s="2">
        <v>19</v>
      </c>
      <c r="N28" s="2">
        <v>3</v>
      </c>
      <c r="O28" s="2">
        <v>4</v>
      </c>
      <c r="P28" s="2">
        <v>4</v>
      </c>
      <c r="Q28" s="2">
        <v>4</v>
      </c>
      <c r="R28" s="3"/>
      <c r="S28" s="6"/>
      <c r="T28" s="6"/>
      <c r="U28" s="6"/>
      <c r="V28" s="6"/>
      <c r="W28" s="6"/>
      <c r="X28" s="3"/>
      <c r="Y28" s="3"/>
      <c r="Z28" s="3"/>
      <c r="AA28" s="3"/>
      <c r="AB28" s="3"/>
      <c r="AC28" s="3"/>
    </row>
    <row r="29" spans="1:29" ht="15.75" x14ac:dyDescent="0.25">
      <c r="A29" s="2">
        <v>20</v>
      </c>
      <c r="B29" s="2">
        <v>4</v>
      </c>
      <c r="C29" s="2">
        <v>5</v>
      </c>
      <c r="D29" s="2">
        <v>5</v>
      </c>
      <c r="E29" s="2">
        <v>3</v>
      </c>
      <c r="F29" s="2">
        <v>4</v>
      </c>
      <c r="G29" s="2">
        <v>5</v>
      </c>
      <c r="H29" s="2">
        <v>5</v>
      </c>
      <c r="I29" s="2">
        <v>4</v>
      </c>
      <c r="J29" s="2">
        <v>3</v>
      </c>
      <c r="K29" s="2">
        <v>5</v>
      </c>
      <c r="L29" s="3"/>
      <c r="M29" s="2">
        <v>20</v>
      </c>
      <c r="N29" s="2">
        <v>5</v>
      </c>
      <c r="O29" s="2">
        <v>4</v>
      </c>
      <c r="P29" s="2">
        <v>3</v>
      </c>
      <c r="Q29" s="2">
        <v>5</v>
      </c>
      <c r="R29" s="3"/>
      <c r="S29" s="6"/>
      <c r="T29" s="6"/>
      <c r="U29" s="6"/>
      <c r="V29" s="6"/>
      <c r="W29" s="6"/>
      <c r="X29" s="3"/>
      <c r="Y29" s="3"/>
      <c r="Z29" s="3"/>
      <c r="AA29" s="3"/>
      <c r="AB29" s="3"/>
      <c r="AC29" s="3"/>
    </row>
    <row r="30" spans="1:29" ht="15.75" x14ac:dyDescent="0.25">
      <c r="A30" s="2">
        <v>21</v>
      </c>
      <c r="B30" s="2">
        <v>5</v>
      </c>
      <c r="C30" s="2">
        <v>4</v>
      </c>
      <c r="D30" s="2">
        <v>4</v>
      </c>
      <c r="E30" s="2">
        <v>3</v>
      </c>
      <c r="F30" s="2">
        <v>5</v>
      </c>
      <c r="G30" s="2">
        <v>4</v>
      </c>
      <c r="H30" s="2">
        <v>4</v>
      </c>
      <c r="I30" s="2">
        <v>5</v>
      </c>
      <c r="J30" s="2">
        <v>5</v>
      </c>
      <c r="K30" s="2">
        <v>4</v>
      </c>
      <c r="L30" s="3"/>
      <c r="M30" s="2">
        <v>21</v>
      </c>
      <c r="N30" s="2">
        <v>4</v>
      </c>
      <c r="O30" s="2">
        <v>5</v>
      </c>
      <c r="P30" s="2">
        <v>5</v>
      </c>
      <c r="Q30" s="2">
        <v>4</v>
      </c>
      <c r="R30" s="3"/>
      <c r="S30" s="6"/>
      <c r="T30" s="6"/>
      <c r="U30" s="6"/>
      <c r="V30" s="6"/>
      <c r="W30" s="6"/>
      <c r="X30" s="3"/>
      <c r="Y30" s="3"/>
      <c r="Z30" s="3"/>
      <c r="AA30" s="3"/>
      <c r="AB30" s="3"/>
      <c r="AC30" s="3"/>
    </row>
    <row r="31" spans="1:29" ht="15.75" x14ac:dyDescent="0.25">
      <c r="A31" s="2">
        <v>22</v>
      </c>
      <c r="B31" s="2">
        <v>5</v>
      </c>
      <c r="C31" s="2">
        <v>5</v>
      </c>
      <c r="D31" s="2">
        <v>5</v>
      </c>
      <c r="E31" s="2">
        <v>4</v>
      </c>
      <c r="F31" s="2">
        <v>4</v>
      </c>
      <c r="G31" s="2">
        <v>4</v>
      </c>
      <c r="H31" s="2">
        <v>3</v>
      </c>
      <c r="I31" s="2">
        <v>3</v>
      </c>
      <c r="J31" s="2">
        <v>4</v>
      </c>
      <c r="K31" s="2">
        <v>4</v>
      </c>
      <c r="L31" s="3"/>
      <c r="M31" s="2">
        <v>22</v>
      </c>
      <c r="N31" s="2">
        <v>3</v>
      </c>
      <c r="O31" s="2">
        <v>3</v>
      </c>
      <c r="P31" s="2">
        <v>4</v>
      </c>
      <c r="Q31" s="2">
        <v>4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30.75" x14ac:dyDescent="0.25">
      <c r="A32" s="2">
        <v>23</v>
      </c>
      <c r="B32" s="2">
        <v>5</v>
      </c>
      <c r="C32" s="2">
        <v>4</v>
      </c>
      <c r="D32" s="2">
        <v>3</v>
      </c>
      <c r="E32" s="2">
        <v>3</v>
      </c>
      <c r="F32" s="2">
        <v>5</v>
      </c>
      <c r="G32" s="2">
        <v>4</v>
      </c>
      <c r="H32" s="2">
        <v>4</v>
      </c>
      <c r="I32" s="2">
        <v>4</v>
      </c>
      <c r="J32" s="2">
        <v>5</v>
      </c>
      <c r="K32" s="2">
        <v>5</v>
      </c>
      <c r="L32" s="3"/>
      <c r="M32" s="2">
        <v>23</v>
      </c>
      <c r="N32" s="2">
        <v>4</v>
      </c>
      <c r="O32" s="2">
        <v>4</v>
      </c>
      <c r="P32" s="2">
        <v>5</v>
      </c>
      <c r="Q32" s="2">
        <v>5</v>
      </c>
      <c r="R32" s="3"/>
      <c r="S32" s="2" t="s">
        <v>4</v>
      </c>
      <c r="T32" s="2" t="s">
        <v>18</v>
      </c>
      <c r="U32" s="2" t="s">
        <v>6</v>
      </c>
      <c r="V32" s="2" t="s">
        <v>7</v>
      </c>
      <c r="W32" s="5" t="e" vm="2">
        <v>#VALUE!</v>
      </c>
      <c r="X32" s="3"/>
      <c r="Y32" s="2" t="s">
        <v>4</v>
      </c>
      <c r="Z32" s="2" t="s">
        <v>18</v>
      </c>
      <c r="AA32" s="2" t="s">
        <v>6</v>
      </c>
      <c r="AB32" s="2" t="s">
        <v>7</v>
      </c>
      <c r="AC32" s="2" t="e" vm="3">
        <v>#VALUE!</v>
      </c>
    </row>
    <row r="33" spans="1:29" ht="15.75" x14ac:dyDescent="0.25">
      <c r="A33" s="2">
        <v>24</v>
      </c>
      <c r="B33" s="2">
        <v>3</v>
      </c>
      <c r="C33" s="2">
        <v>4</v>
      </c>
      <c r="D33" s="2">
        <v>4</v>
      </c>
      <c r="E33" s="2">
        <v>5</v>
      </c>
      <c r="F33" s="2">
        <v>5</v>
      </c>
      <c r="G33" s="2">
        <v>3</v>
      </c>
      <c r="H33" s="2">
        <v>4</v>
      </c>
      <c r="I33" s="2">
        <v>5</v>
      </c>
      <c r="J33" s="2">
        <v>4</v>
      </c>
      <c r="K33" s="2">
        <v>5</v>
      </c>
      <c r="L33" s="3"/>
      <c r="M33" s="2">
        <v>24</v>
      </c>
      <c r="N33" s="2">
        <v>4</v>
      </c>
      <c r="O33" s="2">
        <v>5</v>
      </c>
      <c r="P33" s="2">
        <v>4</v>
      </c>
      <c r="Q33" s="2">
        <v>5</v>
      </c>
      <c r="R33" s="3"/>
      <c r="S33" s="4">
        <f t="shared" ref="S33:S47" si="2">SUM(IF(U11="В", 0, IF(U11="С", 0, IF(U11="Н",U$10, 0))))</f>
        <v>0</v>
      </c>
      <c r="T33" s="4">
        <f t="shared" ref="T33:T47" si="3">SUM(IF(V11="В", 0, IF(V11="С", 0, IF(V11="Н",V$10, 0))))</f>
        <v>0.24</v>
      </c>
      <c r="U33" s="4">
        <f t="shared" ref="U33:U47" si="4">SUM(IF(W11="В", 0, IF(W11="С", 0, IF(W11="Н",W$10, 0))))</f>
        <v>0</v>
      </c>
      <c r="V33" s="4">
        <f t="shared" ref="V33:V47" si="5">SUM(IF(X11="В", 0, IF(X11="С", 0, IF(X11="Н",X$10, 0))))</f>
        <v>0</v>
      </c>
      <c r="W33" s="4">
        <f>SUM(S33:V33)</f>
        <v>0.24</v>
      </c>
      <c r="X33" s="3"/>
      <c r="Y33" s="4">
        <f>SUM(IF(U11="В", 0, IF(U11="С", U$10, IF(U11="Н",0, 0))))</f>
        <v>0</v>
      </c>
      <c r="Z33" s="4">
        <f t="shared" ref="Z33:AB33" si="6">SUM(IF(V11="В", 0, IF(V11="С", V$10, IF(V11="Н",0, 0))))</f>
        <v>0</v>
      </c>
      <c r="AA33" s="4">
        <f t="shared" si="6"/>
        <v>0.26</v>
      </c>
      <c r="AB33" s="4">
        <f t="shared" si="6"/>
        <v>0</v>
      </c>
      <c r="AC33" s="4">
        <f>SUM(Y33:AB33)</f>
        <v>0.26</v>
      </c>
    </row>
    <row r="34" spans="1:29" ht="15.75" x14ac:dyDescent="0.25">
      <c r="A34" s="2">
        <v>25</v>
      </c>
      <c r="B34" s="2">
        <v>4</v>
      </c>
      <c r="C34" s="2">
        <v>5</v>
      </c>
      <c r="D34" s="2">
        <v>5</v>
      </c>
      <c r="E34" s="2">
        <v>3</v>
      </c>
      <c r="F34" s="2">
        <v>3</v>
      </c>
      <c r="G34" s="2">
        <v>5</v>
      </c>
      <c r="H34" s="2">
        <v>4</v>
      </c>
      <c r="I34" s="2">
        <v>5</v>
      </c>
      <c r="J34" s="2"/>
      <c r="K34" s="2"/>
      <c r="L34" s="3"/>
      <c r="M34" s="2">
        <v>25</v>
      </c>
      <c r="N34" s="2">
        <v>4</v>
      </c>
      <c r="O34" s="2">
        <v>5</v>
      </c>
      <c r="P34" s="2"/>
      <c r="Q34" s="2"/>
      <c r="R34" s="3"/>
      <c r="S34" s="4">
        <f t="shared" si="2"/>
        <v>0</v>
      </c>
      <c r="T34" s="4">
        <f t="shared" si="3"/>
        <v>0</v>
      </c>
      <c r="U34" s="4">
        <f t="shared" si="4"/>
        <v>0</v>
      </c>
      <c r="V34" s="4">
        <f t="shared" si="5"/>
        <v>0.28999999999999998</v>
      </c>
      <c r="W34" s="4">
        <f t="shared" ref="W34:W47" si="7">SUM(S34:V34)</f>
        <v>0.28999999999999998</v>
      </c>
      <c r="X34" s="3"/>
      <c r="Y34" s="4">
        <f t="shared" ref="Y34:Y47" si="8">SUM(IF(U12="В", 0, IF(U12="С", U$10, IF(U12="Н",0, 0))))</f>
        <v>0</v>
      </c>
      <c r="Z34" s="4">
        <f t="shared" ref="Z34:Z47" si="9">SUM(IF(V12="В", 0, IF(V12="С", V$10, IF(V12="Н",0, 0))))</f>
        <v>0.24</v>
      </c>
      <c r="AA34" s="4">
        <f t="shared" ref="AA34:AA47" si="10">SUM(IF(W12="В", 0, IF(W12="С", W$10, IF(W12="Н",0, 0))))</f>
        <v>0.26</v>
      </c>
      <c r="AB34" s="4">
        <f t="shared" ref="AB34:AB47" si="11">SUM(IF(X12="В", 0, IF(X12="С", X$10, IF(X12="Н",0, 0))))</f>
        <v>0</v>
      </c>
      <c r="AC34" s="4">
        <f t="shared" ref="AC34:AC47" si="12">SUM(Y34:AB34)</f>
        <v>0.5</v>
      </c>
    </row>
    <row r="35" spans="1:29" ht="15.75" x14ac:dyDescent="0.25">
      <c r="A35" s="2">
        <v>26</v>
      </c>
      <c r="B35" s="2">
        <v>5</v>
      </c>
      <c r="C35" s="2">
        <v>5</v>
      </c>
      <c r="D35" s="2">
        <v>5</v>
      </c>
      <c r="E35" s="2">
        <v>4</v>
      </c>
      <c r="F35" s="2">
        <v>5</v>
      </c>
      <c r="G35" s="2">
        <v>3</v>
      </c>
      <c r="H35" s="2">
        <v>4</v>
      </c>
      <c r="I35" s="2"/>
      <c r="J35" s="2"/>
      <c r="K35" s="2"/>
      <c r="L35" s="3"/>
      <c r="M35" s="2">
        <v>26</v>
      </c>
      <c r="N35" s="2">
        <v>4</v>
      </c>
      <c r="O35" s="2"/>
      <c r="P35" s="2"/>
      <c r="Q35" s="2"/>
      <c r="R35" s="3"/>
      <c r="S35" s="4">
        <f t="shared" si="2"/>
        <v>0</v>
      </c>
      <c r="T35" s="4">
        <f t="shared" si="3"/>
        <v>0</v>
      </c>
      <c r="U35" s="4">
        <f t="shared" si="4"/>
        <v>0.26</v>
      </c>
      <c r="V35" s="4">
        <f t="shared" si="5"/>
        <v>0</v>
      </c>
      <c r="W35" s="4">
        <f t="shared" si="7"/>
        <v>0.26</v>
      </c>
      <c r="X35" s="3"/>
      <c r="Y35" s="4">
        <f t="shared" si="8"/>
        <v>0.21</v>
      </c>
      <c r="Z35" s="4">
        <f t="shared" si="9"/>
        <v>0</v>
      </c>
      <c r="AA35" s="4">
        <f t="shared" si="10"/>
        <v>0</v>
      </c>
      <c r="AB35" s="4">
        <f t="shared" si="11"/>
        <v>0.28999999999999998</v>
      </c>
      <c r="AC35" s="4">
        <f t="shared" si="12"/>
        <v>0.5</v>
      </c>
    </row>
    <row r="36" spans="1:29" ht="15.75" x14ac:dyDescent="0.25">
      <c r="A36" s="2">
        <v>27</v>
      </c>
      <c r="B36" s="2">
        <v>3</v>
      </c>
      <c r="C36" s="2">
        <v>3</v>
      </c>
      <c r="D36" s="2">
        <v>4</v>
      </c>
      <c r="E36" s="2">
        <v>5</v>
      </c>
      <c r="F36" s="2">
        <v>5</v>
      </c>
      <c r="G36" s="2">
        <v>4</v>
      </c>
      <c r="H36" s="2"/>
      <c r="I36" s="2"/>
      <c r="J36" s="2"/>
      <c r="K36" s="2"/>
      <c r="L36" s="3"/>
      <c r="M36" s="3"/>
      <c r="N36" s="3"/>
      <c r="O36" s="3"/>
      <c r="P36" s="3"/>
      <c r="Q36" s="3"/>
      <c r="R36" s="3"/>
      <c r="S36" s="4">
        <f t="shared" si="2"/>
        <v>0.21</v>
      </c>
      <c r="T36" s="4">
        <f t="shared" si="3"/>
        <v>0.24</v>
      </c>
      <c r="U36" s="4">
        <f t="shared" si="4"/>
        <v>0</v>
      </c>
      <c r="V36" s="4">
        <f t="shared" si="5"/>
        <v>0</v>
      </c>
      <c r="W36" s="4">
        <f t="shared" si="7"/>
        <v>0.44999999999999996</v>
      </c>
      <c r="X36" s="3"/>
      <c r="Y36" s="4">
        <f t="shared" si="8"/>
        <v>0</v>
      </c>
      <c r="Z36" s="4">
        <f t="shared" si="9"/>
        <v>0</v>
      </c>
      <c r="AA36" s="4">
        <f t="shared" si="10"/>
        <v>0.26</v>
      </c>
      <c r="AB36" s="4">
        <f t="shared" si="11"/>
        <v>0.28999999999999998</v>
      </c>
      <c r="AC36" s="4">
        <f t="shared" si="12"/>
        <v>0.55000000000000004</v>
      </c>
    </row>
    <row r="37" spans="1:29" ht="15.75" x14ac:dyDescent="0.25">
      <c r="A37" s="2">
        <v>28</v>
      </c>
      <c r="B37" s="2">
        <v>3</v>
      </c>
      <c r="C37" s="2">
        <v>4</v>
      </c>
      <c r="D37" s="2">
        <v>4</v>
      </c>
      <c r="E37" s="2">
        <v>5</v>
      </c>
      <c r="F37" s="2">
        <v>4</v>
      </c>
      <c r="G37" s="2"/>
      <c r="H37" s="2"/>
      <c r="I37" s="2"/>
      <c r="J37" s="2"/>
      <c r="K37" s="2"/>
      <c r="L37" s="3"/>
      <c r="M37" s="3"/>
      <c r="N37" s="3"/>
      <c r="O37" s="3"/>
      <c r="P37" s="3"/>
      <c r="Q37" s="3"/>
      <c r="R37" s="3"/>
      <c r="S37" s="4">
        <f t="shared" si="2"/>
        <v>0</v>
      </c>
      <c r="T37" s="4">
        <f t="shared" si="3"/>
        <v>0</v>
      </c>
      <c r="U37" s="4">
        <f t="shared" si="4"/>
        <v>0</v>
      </c>
      <c r="V37" s="4">
        <f t="shared" si="5"/>
        <v>0</v>
      </c>
      <c r="W37" s="4">
        <f t="shared" si="7"/>
        <v>0</v>
      </c>
      <c r="X37" s="3"/>
      <c r="Y37" s="4">
        <f t="shared" si="8"/>
        <v>0</v>
      </c>
      <c r="Z37" s="4">
        <f t="shared" si="9"/>
        <v>0</v>
      </c>
      <c r="AA37" s="4">
        <f t="shared" si="10"/>
        <v>0.26</v>
      </c>
      <c r="AB37" s="4">
        <f t="shared" si="11"/>
        <v>0.28999999999999998</v>
      </c>
      <c r="AC37" s="4">
        <f t="shared" si="12"/>
        <v>0.55000000000000004</v>
      </c>
    </row>
    <row r="38" spans="1:29" ht="15.75" x14ac:dyDescent="0.25">
      <c r="A38" s="2">
        <v>29</v>
      </c>
      <c r="B38" s="2">
        <v>4</v>
      </c>
      <c r="C38" s="2">
        <v>4</v>
      </c>
      <c r="D38" s="2">
        <v>3</v>
      </c>
      <c r="E38" s="2">
        <v>4</v>
      </c>
      <c r="F38" s="2"/>
      <c r="G38" s="2"/>
      <c r="H38" s="2"/>
      <c r="I38" s="2"/>
      <c r="J38" s="2"/>
      <c r="K38" s="2"/>
      <c r="L38" s="3"/>
      <c r="M38" s="3"/>
      <c r="N38" s="3"/>
      <c r="O38" s="3"/>
      <c r="P38" s="3"/>
      <c r="Q38" s="3"/>
      <c r="R38" s="3"/>
      <c r="S38" s="4">
        <f t="shared" si="2"/>
        <v>0</v>
      </c>
      <c r="T38" s="4">
        <f t="shared" si="3"/>
        <v>0</v>
      </c>
      <c r="U38" s="4">
        <f t="shared" si="4"/>
        <v>0</v>
      </c>
      <c r="V38" s="4">
        <f t="shared" si="5"/>
        <v>0.28999999999999998</v>
      </c>
      <c r="W38" s="4">
        <f t="shared" si="7"/>
        <v>0.28999999999999998</v>
      </c>
      <c r="X38" s="3"/>
      <c r="Y38" s="4">
        <f t="shared" si="8"/>
        <v>0.21</v>
      </c>
      <c r="Z38" s="4">
        <f t="shared" si="9"/>
        <v>0</v>
      </c>
      <c r="AA38" s="4">
        <f t="shared" si="10"/>
        <v>0</v>
      </c>
      <c r="AB38" s="4">
        <f t="shared" si="11"/>
        <v>0</v>
      </c>
      <c r="AC38" s="4">
        <f t="shared" si="12"/>
        <v>0.21</v>
      </c>
    </row>
    <row r="39" spans="1:29" ht="15.75" x14ac:dyDescent="0.25">
      <c r="A39" s="2">
        <v>30</v>
      </c>
      <c r="B39" s="2">
        <v>5</v>
      </c>
      <c r="C39" s="2">
        <v>4</v>
      </c>
      <c r="D39" s="2"/>
      <c r="E39" s="2"/>
      <c r="F39" s="2"/>
      <c r="G39" s="2"/>
      <c r="H39" s="2"/>
      <c r="I39" s="2"/>
      <c r="J39" s="2"/>
      <c r="K39" s="2"/>
      <c r="L39" s="3"/>
      <c r="M39" s="3"/>
      <c r="N39" s="3"/>
      <c r="O39" s="3"/>
      <c r="P39" s="3"/>
      <c r="Q39" s="3"/>
      <c r="R39" s="3"/>
      <c r="S39" s="4">
        <f t="shared" si="2"/>
        <v>0</v>
      </c>
      <c r="T39" s="4">
        <f t="shared" si="3"/>
        <v>0</v>
      </c>
      <c r="U39" s="4">
        <f t="shared" si="4"/>
        <v>0</v>
      </c>
      <c r="V39" s="4">
        <f t="shared" si="5"/>
        <v>0.28999999999999998</v>
      </c>
      <c r="W39" s="4">
        <f t="shared" si="7"/>
        <v>0.28999999999999998</v>
      </c>
      <c r="X39" s="3"/>
      <c r="Y39" s="4">
        <f t="shared" si="8"/>
        <v>0</v>
      </c>
      <c r="Z39" s="4">
        <f t="shared" si="9"/>
        <v>0.24</v>
      </c>
      <c r="AA39" s="4">
        <f t="shared" si="10"/>
        <v>0</v>
      </c>
      <c r="AB39" s="4">
        <f t="shared" si="11"/>
        <v>0</v>
      </c>
      <c r="AC39" s="4">
        <f t="shared" si="12"/>
        <v>0.24</v>
      </c>
    </row>
    <row r="40" spans="1:29" ht="15.7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4">
        <f t="shared" si="2"/>
        <v>0</v>
      </c>
      <c r="T40" s="4">
        <f t="shared" si="3"/>
        <v>0</v>
      </c>
      <c r="U40" s="4">
        <f t="shared" si="4"/>
        <v>0</v>
      </c>
      <c r="V40" s="4">
        <f t="shared" si="5"/>
        <v>0</v>
      </c>
      <c r="W40" s="4">
        <f t="shared" si="7"/>
        <v>0</v>
      </c>
      <c r="X40" s="3"/>
      <c r="Y40" s="4">
        <f t="shared" si="8"/>
        <v>0.21</v>
      </c>
      <c r="Z40" s="4">
        <f t="shared" si="9"/>
        <v>0</v>
      </c>
      <c r="AA40" s="4">
        <f t="shared" si="10"/>
        <v>0.26</v>
      </c>
      <c r="AB40" s="4">
        <f t="shared" si="11"/>
        <v>0.28999999999999998</v>
      </c>
      <c r="AC40" s="4">
        <f t="shared" si="12"/>
        <v>0.76</v>
      </c>
    </row>
    <row r="41" spans="1:29" ht="15.7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4">
        <f t="shared" si="2"/>
        <v>0</v>
      </c>
      <c r="T41" s="4">
        <f t="shared" si="3"/>
        <v>0</v>
      </c>
      <c r="U41" s="4">
        <f t="shared" si="4"/>
        <v>0</v>
      </c>
      <c r="V41" s="4">
        <f t="shared" si="5"/>
        <v>0</v>
      </c>
      <c r="W41" s="4">
        <f t="shared" si="7"/>
        <v>0</v>
      </c>
      <c r="X41" s="3"/>
      <c r="Y41" s="4">
        <f t="shared" si="8"/>
        <v>0</v>
      </c>
      <c r="Z41" s="4">
        <f t="shared" si="9"/>
        <v>0</v>
      </c>
      <c r="AA41" s="4">
        <f t="shared" si="10"/>
        <v>0</v>
      </c>
      <c r="AB41" s="4">
        <f t="shared" si="11"/>
        <v>0</v>
      </c>
      <c r="AC41" s="4">
        <f t="shared" si="12"/>
        <v>0</v>
      </c>
    </row>
    <row r="42" spans="1:29" ht="15.7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4">
        <f t="shared" si="2"/>
        <v>0</v>
      </c>
      <c r="T42" s="4">
        <f t="shared" si="3"/>
        <v>0.24</v>
      </c>
      <c r="U42" s="4">
        <f t="shared" si="4"/>
        <v>0</v>
      </c>
      <c r="V42" s="4">
        <f t="shared" si="5"/>
        <v>0</v>
      </c>
      <c r="W42" s="4">
        <f t="shared" si="7"/>
        <v>0.24</v>
      </c>
      <c r="X42" s="3"/>
      <c r="Y42" s="4">
        <f t="shared" si="8"/>
        <v>0</v>
      </c>
      <c r="Z42" s="4">
        <f t="shared" si="9"/>
        <v>0</v>
      </c>
      <c r="AA42" s="4">
        <f t="shared" si="10"/>
        <v>0.26</v>
      </c>
      <c r="AB42" s="4">
        <f t="shared" si="11"/>
        <v>0.28999999999999998</v>
      </c>
      <c r="AC42" s="4">
        <f t="shared" si="12"/>
        <v>0.55000000000000004</v>
      </c>
    </row>
    <row r="43" spans="1:29" ht="15.7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4">
        <f t="shared" si="2"/>
        <v>0.21</v>
      </c>
      <c r="T43" s="4">
        <f t="shared" si="3"/>
        <v>0</v>
      </c>
      <c r="U43" s="4">
        <f t="shared" si="4"/>
        <v>0</v>
      </c>
      <c r="V43" s="4">
        <f t="shared" si="5"/>
        <v>0</v>
      </c>
      <c r="W43" s="4">
        <f t="shared" si="7"/>
        <v>0.21</v>
      </c>
      <c r="X43" s="3"/>
      <c r="Y43" s="4">
        <f t="shared" si="8"/>
        <v>0</v>
      </c>
      <c r="Z43" s="4">
        <f t="shared" si="9"/>
        <v>0.24</v>
      </c>
      <c r="AA43" s="4">
        <f t="shared" si="10"/>
        <v>0.26</v>
      </c>
      <c r="AB43" s="4">
        <f t="shared" si="11"/>
        <v>0.28999999999999998</v>
      </c>
      <c r="AC43" s="4">
        <f t="shared" si="12"/>
        <v>0.79</v>
      </c>
    </row>
    <row r="44" spans="1:29" ht="15.7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4">
        <f t="shared" si="2"/>
        <v>0</v>
      </c>
      <c r="T44" s="4">
        <f t="shared" si="3"/>
        <v>0</v>
      </c>
      <c r="U44" s="4">
        <f t="shared" si="4"/>
        <v>0</v>
      </c>
      <c r="V44" s="4">
        <f t="shared" si="5"/>
        <v>0</v>
      </c>
      <c r="W44" s="4">
        <f t="shared" si="7"/>
        <v>0</v>
      </c>
      <c r="X44" s="3"/>
      <c r="Y44" s="4">
        <f t="shared" si="8"/>
        <v>0.21</v>
      </c>
      <c r="Z44" s="4">
        <f t="shared" si="9"/>
        <v>0</v>
      </c>
      <c r="AA44" s="4">
        <f t="shared" si="10"/>
        <v>0.26</v>
      </c>
      <c r="AB44" s="4">
        <f t="shared" si="11"/>
        <v>0</v>
      </c>
      <c r="AC44" s="4">
        <f t="shared" si="12"/>
        <v>0.47</v>
      </c>
    </row>
    <row r="45" spans="1:29" ht="15.7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4">
        <f t="shared" si="2"/>
        <v>0</v>
      </c>
      <c r="T45" s="4">
        <f t="shared" si="3"/>
        <v>0.24</v>
      </c>
      <c r="U45" s="4">
        <f t="shared" si="4"/>
        <v>0</v>
      </c>
      <c r="V45" s="4">
        <f t="shared" si="5"/>
        <v>0</v>
      </c>
      <c r="W45" s="4">
        <f t="shared" si="7"/>
        <v>0.24</v>
      </c>
      <c r="X45" s="3"/>
      <c r="Y45" s="4">
        <f t="shared" si="8"/>
        <v>0</v>
      </c>
      <c r="Z45" s="4">
        <f t="shared" si="9"/>
        <v>0</v>
      </c>
      <c r="AA45" s="4">
        <f t="shared" si="10"/>
        <v>0.26</v>
      </c>
      <c r="AB45" s="4">
        <f t="shared" si="11"/>
        <v>0.28999999999999998</v>
      </c>
      <c r="AC45" s="4">
        <f t="shared" si="12"/>
        <v>0.55000000000000004</v>
      </c>
    </row>
    <row r="46" spans="1:29" ht="15.7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4">
        <f t="shared" si="2"/>
        <v>0</v>
      </c>
      <c r="T46" s="4">
        <f t="shared" si="3"/>
        <v>0</v>
      </c>
      <c r="U46" s="4">
        <f t="shared" si="4"/>
        <v>0</v>
      </c>
      <c r="V46" s="4">
        <f t="shared" si="5"/>
        <v>0</v>
      </c>
      <c r="W46" s="4">
        <f t="shared" si="7"/>
        <v>0</v>
      </c>
      <c r="X46" s="3"/>
      <c r="Y46" s="4">
        <f t="shared" si="8"/>
        <v>0.21</v>
      </c>
      <c r="Z46" s="4">
        <f t="shared" si="9"/>
        <v>0.24</v>
      </c>
      <c r="AA46" s="4">
        <f t="shared" si="10"/>
        <v>0</v>
      </c>
      <c r="AB46" s="4">
        <f t="shared" si="11"/>
        <v>0</v>
      </c>
      <c r="AC46" s="4">
        <f t="shared" si="12"/>
        <v>0.44999999999999996</v>
      </c>
    </row>
    <row r="47" spans="1:29" ht="15.7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4">
        <f t="shared" si="2"/>
        <v>0</v>
      </c>
      <c r="T47" s="4">
        <f t="shared" si="3"/>
        <v>0</v>
      </c>
      <c r="U47" s="4">
        <f t="shared" si="4"/>
        <v>0</v>
      </c>
      <c r="V47" s="4">
        <f t="shared" si="5"/>
        <v>0</v>
      </c>
      <c r="W47" s="4">
        <f t="shared" si="7"/>
        <v>0</v>
      </c>
      <c r="X47" s="3"/>
      <c r="Y47" s="4">
        <f t="shared" si="8"/>
        <v>0</v>
      </c>
      <c r="Z47" s="4">
        <f t="shared" si="9"/>
        <v>0</v>
      </c>
      <c r="AA47" s="4">
        <f t="shared" si="10"/>
        <v>0</v>
      </c>
      <c r="AB47" s="4">
        <f t="shared" si="11"/>
        <v>0.28999999999999998</v>
      </c>
      <c r="AC47" s="4">
        <f t="shared" si="12"/>
        <v>0.28999999999999998</v>
      </c>
    </row>
  </sheetData>
  <mergeCells count="17">
    <mergeCell ref="A8:A9"/>
    <mergeCell ref="B8:K8"/>
    <mergeCell ref="A1:F1"/>
    <mergeCell ref="A2:A3"/>
    <mergeCell ref="B2:E2"/>
    <mergeCell ref="F2:F3"/>
    <mergeCell ref="A7:K7"/>
    <mergeCell ref="S27:W30"/>
    <mergeCell ref="M7:Q7"/>
    <mergeCell ref="M8:M9"/>
    <mergeCell ref="N8:Q8"/>
    <mergeCell ref="S7:Z7"/>
    <mergeCell ref="S8:S10"/>
    <mergeCell ref="T8:T10"/>
    <mergeCell ref="Y8:Y10"/>
    <mergeCell ref="Z8:Z10"/>
    <mergeCell ref="U8:X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Fanatsio PC</dc:creator>
  <cp:lastModifiedBy>Fanatsio PC</cp:lastModifiedBy>
  <dcterms:created xsi:type="dcterms:W3CDTF">2015-06-05T18:19:34Z</dcterms:created>
  <dcterms:modified xsi:type="dcterms:W3CDTF">2026-03-12T18:19:12Z</dcterms:modified>
</cp:coreProperties>
</file>