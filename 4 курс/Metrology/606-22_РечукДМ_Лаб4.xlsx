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Университет\University\4 курс\Metrology\"/>
    </mc:Choice>
  </mc:AlternateContent>
  <xr:revisionPtr revIDLastSave="0" documentId="13_ncr:1_{5EA296E6-8F4B-4DBD-B1F8-987C3FF3DF8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14" i="1" l="1"/>
  <c r="Y14" i="1"/>
  <c r="Z14" i="1"/>
  <c r="AA14" i="1"/>
  <c r="AB14" i="1"/>
  <c r="AC14" i="1"/>
  <c r="AD14" i="1"/>
  <c r="AE14" i="1"/>
  <c r="AF14" i="1"/>
  <c r="W14" i="1"/>
  <c r="X13" i="1"/>
  <c r="Y13" i="1"/>
  <c r="Z13" i="1"/>
  <c r="AA13" i="1"/>
  <c r="AB13" i="1"/>
  <c r="AC13" i="1"/>
  <c r="AD13" i="1"/>
  <c r="AE13" i="1"/>
  <c r="AF13" i="1"/>
  <c r="W13" i="1"/>
  <c r="X12" i="1"/>
  <c r="Y12" i="1"/>
  <c r="Z12" i="1"/>
  <c r="AA12" i="1"/>
  <c r="AB12" i="1"/>
  <c r="AC12" i="1"/>
  <c r="AD12" i="1"/>
  <c r="AE12" i="1"/>
  <c r="AF12" i="1"/>
  <c r="W12" i="1"/>
  <c r="X11" i="1"/>
  <c r="Y11" i="1"/>
  <c r="Z11" i="1"/>
  <c r="AA11" i="1"/>
  <c r="AB11" i="1"/>
  <c r="AC11" i="1"/>
  <c r="AD11" i="1"/>
  <c r="AE11" i="1"/>
  <c r="AF11" i="1"/>
  <c r="W11" i="1"/>
  <c r="X10" i="1"/>
  <c r="Y10" i="1"/>
  <c r="Z10" i="1"/>
  <c r="AA10" i="1"/>
  <c r="AB10" i="1"/>
  <c r="AC10" i="1"/>
  <c r="AD10" i="1"/>
  <c r="AE10" i="1"/>
  <c r="AF10" i="1"/>
  <c r="W10" i="1"/>
  <c r="X6" i="1"/>
  <c r="Y6" i="1"/>
  <c r="Z6" i="1"/>
  <c r="AA6" i="1"/>
  <c r="AB6" i="1"/>
  <c r="AC6" i="1"/>
  <c r="AD6" i="1"/>
  <c r="AE6" i="1"/>
  <c r="AF6" i="1"/>
  <c r="W6" i="1"/>
  <c r="X5" i="1"/>
  <c r="Y5" i="1"/>
  <c r="Z5" i="1"/>
  <c r="AA5" i="1"/>
  <c r="AB5" i="1"/>
  <c r="AC5" i="1"/>
  <c r="AD5" i="1"/>
  <c r="AE5" i="1"/>
  <c r="AF5" i="1"/>
  <c r="W5" i="1"/>
  <c r="X4" i="1"/>
  <c r="Y4" i="1"/>
  <c r="Z4" i="1"/>
  <c r="AA4" i="1"/>
  <c r="AB4" i="1"/>
  <c r="AC4" i="1"/>
  <c r="AD4" i="1"/>
  <c r="AE4" i="1"/>
  <c r="AF4" i="1"/>
  <c r="W4" i="1"/>
  <c r="X3" i="1"/>
  <c r="Y3" i="1"/>
  <c r="Z3" i="1"/>
  <c r="AA3" i="1"/>
  <c r="AB3" i="1"/>
  <c r="AC3" i="1"/>
  <c r="AD3" i="1"/>
  <c r="AE3" i="1"/>
  <c r="AF3" i="1"/>
  <c r="W3" i="1"/>
  <c r="X2" i="1"/>
  <c r="Y2" i="1"/>
  <c r="Z2" i="1"/>
  <c r="AA2" i="1"/>
  <c r="AB2" i="1"/>
  <c r="AC2" i="1"/>
  <c r="AD2" i="1"/>
  <c r="AE2" i="1"/>
  <c r="AF2" i="1"/>
  <c r="W2" i="1"/>
</calcChain>
</file>

<file path=xl/sharedStrings.xml><?xml version="1.0" encoding="utf-8"?>
<sst xmlns="http://schemas.openxmlformats.org/spreadsheetml/2006/main" count="83" uniqueCount="24">
  <si>
    <t>№</t>
  </si>
  <si>
    <t>Цвет</t>
  </si>
  <si>
    <t>Номинал</t>
  </si>
  <si>
    <t>Замер 1</t>
  </si>
  <si>
    <t>Замер 2</t>
  </si>
  <si>
    <t>Замер 3</t>
  </si>
  <si>
    <t>Замер 4</t>
  </si>
  <si>
    <t>Замер 5</t>
  </si>
  <si>
    <t>Замер 6</t>
  </si>
  <si>
    <t>Замер 7</t>
  </si>
  <si>
    <t>Замер 8</t>
  </si>
  <si>
    <t>Замер 9</t>
  </si>
  <si>
    <t>Замер 10</t>
  </si>
  <si>
    <t>2К2</t>
  </si>
  <si>
    <t>2,2 кОм</t>
  </si>
  <si>
    <t>6К8</t>
  </si>
  <si>
    <t>6,8 кОм</t>
  </si>
  <si>
    <t>КЧЧОК</t>
  </si>
  <si>
    <t>100 кОм</t>
  </si>
  <si>
    <t>СКФЗ</t>
  </si>
  <si>
    <t>СЧГК</t>
  </si>
  <si>
    <t>810 МОм</t>
  </si>
  <si>
    <t>80 МОм</t>
  </si>
  <si>
    <t>ывр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</si>
</sst>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2К2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Лист1!$D$2:$M$2</c:f>
              <c:numCache>
                <c:formatCode>General</c:formatCode>
                <c:ptCount val="10"/>
                <c:pt idx="0">
                  <c:v>2.2200000000000002</c:v>
                </c:pt>
                <c:pt idx="1">
                  <c:v>2.19</c:v>
                </c:pt>
                <c:pt idx="2">
                  <c:v>2.2000000000000002</c:v>
                </c:pt>
                <c:pt idx="3">
                  <c:v>2.21</c:v>
                </c:pt>
                <c:pt idx="4">
                  <c:v>2.21</c:v>
                </c:pt>
                <c:pt idx="5">
                  <c:v>2.21</c:v>
                </c:pt>
                <c:pt idx="6">
                  <c:v>2.2000000000000002</c:v>
                </c:pt>
                <c:pt idx="7">
                  <c:v>2.21</c:v>
                </c:pt>
                <c:pt idx="8">
                  <c:v>2.2200000000000002</c:v>
                </c:pt>
                <c:pt idx="9">
                  <c:v>2.21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54-41B7-B432-42604F9E1A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4450575"/>
        <c:axId val="754456815"/>
      </c:barChart>
      <c:catAx>
        <c:axId val="7544505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Номер замера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4456815"/>
        <c:crosses val="autoZero"/>
        <c:auto val="1"/>
        <c:lblAlgn val="ctr"/>
        <c:lblOffset val="100"/>
        <c:noMultiLvlLbl val="0"/>
      </c:catAx>
      <c:valAx>
        <c:axId val="754456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кОм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4450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6К8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Лист1!$D$3:$M$3</c:f>
              <c:numCache>
                <c:formatCode>General</c:formatCode>
                <c:ptCount val="10"/>
                <c:pt idx="0">
                  <c:v>6.85</c:v>
                </c:pt>
                <c:pt idx="1">
                  <c:v>6.84</c:v>
                </c:pt>
                <c:pt idx="2">
                  <c:v>6.86</c:v>
                </c:pt>
                <c:pt idx="3">
                  <c:v>6.85</c:v>
                </c:pt>
                <c:pt idx="4">
                  <c:v>6.84</c:v>
                </c:pt>
                <c:pt idx="5">
                  <c:v>6.85</c:v>
                </c:pt>
                <c:pt idx="6">
                  <c:v>6.85</c:v>
                </c:pt>
                <c:pt idx="7">
                  <c:v>6.84</c:v>
                </c:pt>
                <c:pt idx="8">
                  <c:v>6.84</c:v>
                </c:pt>
                <c:pt idx="9">
                  <c:v>6.85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CF-432E-BD9C-47ECF789B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05266527"/>
        <c:axId val="705265087"/>
      </c:barChart>
      <c:catAx>
        <c:axId val="7052665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Номер замера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5265087"/>
        <c:crosses val="autoZero"/>
        <c:auto val="1"/>
        <c:lblAlgn val="ctr"/>
        <c:lblOffset val="100"/>
        <c:noMultiLvlLbl val="0"/>
      </c:catAx>
      <c:valAx>
        <c:axId val="70526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кОм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5266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КЧЧОК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Лист1!$D$4:$M$4</c:f>
              <c:numCache>
                <c:formatCode>General</c:formatCode>
                <c:ptCount val="10"/>
                <c:pt idx="0">
                  <c:v>97.1</c:v>
                </c:pt>
                <c:pt idx="1">
                  <c:v>99.5</c:v>
                </c:pt>
                <c:pt idx="2">
                  <c:v>98.6</c:v>
                </c:pt>
                <c:pt idx="3">
                  <c:v>99.3</c:v>
                </c:pt>
                <c:pt idx="4">
                  <c:v>99.5</c:v>
                </c:pt>
                <c:pt idx="5">
                  <c:v>98.7</c:v>
                </c:pt>
                <c:pt idx="6">
                  <c:v>99.6</c:v>
                </c:pt>
                <c:pt idx="7">
                  <c:v>99.5</c:v>
                </c:pt>
                <c:pt idx="8">
                  <c:v>99.3</c:v>
                </c:pt>
                <c:pt idx="9">
                  <c:v>99.9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85-4F76-BB40-4E39F5C10D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98507823"/>
        <c:axId val="700871567"/>
      </c:barChart>
      <c:catAx>
        <c:axId val="6985078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Номер замера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0871567"/>
        <c:crosses val="autoZero"/>
        <c:auto val="1"/>
        <c:lblAlgn val="ctr"/>
        <c:lblOffset val="100"/>
        <c:noMultiLvlLbl val="0"/>
      </c:catAx>
      <c:valAx>
        <c:axId val="700871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кОм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98507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СКФЗ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Лист1!$D$5:$M$5</c:f>
              <c:numCache>
                <c:formatCode>General</c:formatCode>
                <c:ptCount val="10"/>
                <c:pt idx="0">
                  <c:v>809.7</c:v>
                </c:pt>
                <c:pt idx="1">
                  <c:v>809.8</c:v>
                </c:pt>
                <c:pt idx="2">
                  <c:v>810.3</c:v>
                </c:pt>
                <c:pt idx="3">
                  <c:v>810.2</c:v>
                </c:pt>
                <c:pt idx="4">
                  <c:v>809.8</c:v>
                </c:pt>
                <c:pt idx="5">
                  <c:v>809.5</c:v>
                </c:pt>
                <c:pt idx="6">
                  <c:v>810.1</c:v>
                </c:pt>
                <c:pt idx="7">
                  <c:v>809.9</c:v>
                </c:pt>
                <c:pt idx="8">
                  <c:v>810.3</c:v>
                </c:pt>
                <c:pt idx="9">
                  <c:v>810.4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5D-41A9-AA10-B8426770DA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00868687"/>
        <c:axId val="700875887"/>
      </c:barChart>
      <c:catAx>
        <c:axId val="7008686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Номер</a:t>
                </a:r>
                <a:r>
                  <a:rPr lang="ru-RU" baseline="0"/>
                  <a:t> замера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0875887"/>
        <c:crosses val="autoZero"/>
        <c:auto val="1"/>
        <c:lblAlgn val="ctr"/>
        <c:lblOffset val="100"/>
        <c:noMultiLvlLbl val="0"/>
      </c:catAx>
      <c:valAx>
        <c:axId val="700875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МОм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0868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СЧГК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Лист1!$D$6:$M$6</c:f>
              <c:numCache>
                <c:formatCode>General</c:formatCode>
                <c:ptCount val="10"/>
                <c:pt idx="0">
                  <c:v>80.599999999999994</c:v>
                </c:pt>
                <c:pt idx="1">
                  <c:v>80.2</c:v>
                </c:pt>
                <c:pt idx="2">
                  <c:v>80.5</c:v>
                </c:pt>
                <c:pt idx="3">
                  <c:v>79.8</c:v>
                </c:pt>
                <c:pt idx="4">
                  <c:v>80.099999999999994</c:v>
                </c:pt>
                <c:pt idx="5">
                  <c:v>79.599999999999994</c:v>
                </c:pt>
                <c:pt idx="6">
                  <c:v>79.8</c:v>
                </c:pt>
                <c:pt idx="7">
                  <c:v>80.2</c:v>
                </c:pt>
                <c:pt idx="8">
                  <c:v>80.400000000000006</c:v>
                </c:pt>
                <c:pt idx="9">
                  <c:v>79.7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F3-40D7-B337-CE7C8BDCF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64504495"/>
        <c:axId val="864490575"/>
      </c:barChart>
      <c:catAx>
        <c:axId val="8645044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Номер замера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4490575"/>
        <c:crosses val="autoZero"/>
        <c:auto val="1"/>
        <c:lblAlgn val="ctr"/>
        <c:lblOffset val="100"/>
        <c:noMultiLvlLbl val="0"/>
      </c:catAx>
      <c:valAx>
        <c:axId val="864490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МОм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45044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2К2</a:t>
            </a:r>
            <a:r>
              <a:rPr lang="ru-RU" sz="1400" b="0" i="0" u="none" strike="noStrike" baseline="0"/>
              <a:t> 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Лист1!$D$10:$M$10</c:f>
              <c:numCache>
                <c:formatCode>General</c:formatCode>
                <c:ptCount val="10"/>
                <c:pt idx="0">
                  <c:v>2.21</c:v>
                </c:pt>
                <c:pt idx="1">
                  <c:v>2.21</c:v>
                </c:pt>
                <c:pt idx="2">
                  <c:v>2.2000000000000002</c:v>
                </c:pt>
                <c:pt idx="3">
                  <c:v>2.21</c:v>
                </c:pt>
                <c:pt idx="4">
                  <c:v>2.2200000000000002</c:v>
                </c:pt>
                <c:pt idx="5">
                  <c:v>2.21</c:v>
                </c:pt>
                <c:pt idx="6">
                  <c:v>2.2000000000000002</c:v>
                </c:pt>
                <c:pt idx="7">
                  <c:v>2.21</c:v>
                </c:pt>
                <c:pt idx="8">
                  <c:v>2.21</c:v>
                </c:pt>
                <c:pt idx="9">
                  <c:v>2.2200000000000002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B4-4AFB-A6F5-10ECC1A79D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00872047"/>
        <c:axId val="700876847"/>
      </c:barChart>
      <c:catAx>
        <c:axId val="7008720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Номер замера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0876847"/>
        <c:crosses val="autoZero"/>
        <c:auto val="1"/>
        <c:lblAlgn val="ctr"/>
        <c:lblOffset val="100"/>
        <c:noMultiLvlLbl val="0"/>
      </c:catAx>
      <c:valAx>
        <c:axId val="700876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кОм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08720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6К8</a:t>
            </a:r>
            <a:r>
              <a:rPr lang="ru-RU" sz="1400" b="0" i="0" u="none" strike="noStrike" baseline="0"/>
              <a:t> 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Лист1!$D$11:$M$11</c:f>
              <c:numCache>
                <c:formatCode>General</c:formatCode>
                <c:ptCount val="10"/>
                <c:pt idx="0">
                  <c:v>6.89</c:v>
                </c:pt>
                <c:pt idx="1">
                  <c:v>6.88</c:v>
                </c:pt>
                <c:pt idx="2">
                  <c:v>6.88</c:v>
                </c:pt>
                <c:pt idx="3">
                  <c:v>6.87</c:v>
                </c:pt>
                <c:pt idx="4">
                  <c:v>6.81</c:v>
                </c:pt>
                <c:pt idx="5">
                  <c:v>6.87</c:v>
                </c:pt>
                <c:pt idx="6">
                  <c:v>6.88</c:v>
                </c:pt>
                <c:pt idx="7">
                  <c:v>6.87</c:v>
                </c:pt>
                <c:pt idx="8">
                  <c:v>6.89</c:v>
                </c:pt>
                <c:pt idx="9">
                  <c:v>6.88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EB-4CFC-B2E4-6F2C2DAC4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00868207"/>
        <c:axId val="700880687"/>
      </c:barChart>
      <c:catAx>
        <c:axId val="7008682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Номер замера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0880687"/>
        <c:crosses val="autoZero"/>
        <c:auto val="1"/>
        <c:lblAlgn val="ctr"/>
        <c:lblOffset val="100"/>
        <c:noMultiLvlLbl val="0"/>
      </c:catAx>
      <c:valAx>
        <c:axId val="700880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кОм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0868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КЧЧОК</a:t>
            </a:r>
            <a:r>
              <a:rPr lang="ru-RU" sz="1400" b="0" i="0" u="none" strike="noStrike" baseline="0"/>
              <a:t> 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Лист1!$D$12:$M$12</c:f>
              <c:numCache>
                <c:formatCode>General</c:formatCode>
                <c:ptCount val="10"/>
                <c:pt idx="0">
                  <c:v>100.8</c:v>
                </c:pt>
                <c:pt idx="1">
                  <c:v>99.5</c:v>
                </c:pt>
                <c:pt idx="2">
                  <c:v>99.7</c:v>
                </c:pt>
                <c:pt idx="3">
                  <c:v>99.7</c:v>
                </c:pt>
                <c:pt idx="4">
                  <c:v>100.2</c:v>
                </c:pt>
                <c:pt idx="5">
                  <c:v>100.5</c:v>
                </c:pt>
                <c:pt idx="6">
                  <c:v>99.8</c:v>
                </c:pt>
                <c:pt idx="7">
                  <c:v>99.7</c:v>
                </c:pt>
                <c:pt idx="8">
                  <c:v>99.8</c:v>
                </c:pt>
                <c:pt idx="9">
                  <c:v>100.2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F-41F6-A0B2-0817DB205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00881167"/>
        <c:axId val="700873487"/>
      </c:barChart>
      <c:catAx>
        <c:axId val="7008811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Номер замера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0873487"/>
        <c:crosses val="autoZero"/>
        <c:auto val="1"/>
        <c:lblAlgn val="ctr"/>
        <c:lblOffset val="100"/>
        <c:noMultiLvlLbl val="0"/>
      </c:catAx>
      <c:valAx>
        <c:axId val="700873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кОм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0881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СКФЗ</a:t>
            </a:r>
            <a:r>
              <a:rPr lang="ru-RU" sz="1400" b="0" i="0" u="none" strike="noStrike" baseline="0"/>
              <a:t> 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Лист1!$D$13:$M$13</c:f>
              <c:numCache>
                <c:formatCode>General</c:formatCode>
                <c:ptCount val="10"/>
                <c:pt idx="0">
                  <c:v>810.2</c:v>
                </c:pt>
                <c:pt idx="1">
                  <c:v>809.8</c:v>
                </c:pt>
                <c:pt idx="2">
                  <c:v>810.4</c:v>
                </c:pt>
                <c:pt idx="3">
                  <c:v>810.1</c:v>
                </c:pt>
                <c:pt idx="4">
                  <c:v>809.9</c:v>
                </c:pt>
                <c:pt idx="5">
                  <c:v>810.2</c:v>
                </c:pt>
                <c:pt idx="6">
                  <c:v>810</c:v>
                </c:pt>
                <c:pt idx="7">
                  <c:v>809.7</c:v>
                </c:pt>
                <c:pt idx="8">
                  <c:v>809.8</c:v>
                </c:pt>
                <c:pt idx="9">
                  <c:v>810.2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72-464F-AE49-615282A607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09637999"/>
        <c:axId val="709636559"/>
      </c:barChart>
      <c:catAx>
        <c:axId val="7096379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Номер замера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9636559"/>
        <c:crosses val="autoZero"/>
        <c:auto val="1"/>
        <c:lblAlgn val="ctr"/>
        <c:lblOffset val="100"/>
        <c:noMultiLvlLbl val="0"/>
      </c:catAx>
      <c:valAx>
        <c:axId val="709636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МОм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9637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СЧГК</a:t>
            </a:r>
            <a:r>
              <a:rPr lang="ru-RU" sz="1400" b="0" i="0" u="none" strike="noStrike" baseline="0"/>
              <a:t> 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Лист1!$D$14:$M$14</c:f>
              <c:numCache>
                <c:formatCode>General</c:formatCode>
                <c:ptCount val="10"/>
                <c:pt idx="0">
                  <c:v>80.7</c:v>
                </c:pt>
                <c:pt idx="1">
                  <c:v>80.5</c:v>
                </c:pt>
                <c:pt idx="2">
                  <c:v>80.5</c:v>
                </c:pt>
                <c:pt idx="3">
                  <c:v>80.2</c:v>
                </c:pt>
                <c:pt idx="4">
                  <c:v>79.8</c:v>
                </c:pt>
                <c:pt idx="5">
                  <c:v>80.599999999999994</c:v>
                </c:pt>
                <c:pt idx="6">
                  <c:v>80.2</c:v>
                </c:pt>
                <c:pt idx="7">
                  <c:v>79.900000000000006</c:v>
                </c:pt>
                <c:pt idx="8">
                  <c:v>80.400000000000006</c:v>
                </c:pt>
                <c:pt idx="9">
                  <c:v>80.599999999999994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69-4C53-ABA2-233201FCB4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05264607"/>
        <c:axId val="705265567"/>
      </c:barChart>
      <c:catAx>
        <c:axId val="7052646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Номер замера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5265567"/>
        <c:crosses val="autoZero"/>
        <c:auto val="1"/>
        <c:lblAlgn val="ctr"/>
        <c:lblOffset val="100"/>
        <c:noMultiLvlLbl val="0"/>
      </c:catAx>
      <c:valAx>
        <c:axId val="705265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МОм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5264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108857</xdr:colOff>
      <xdr:row>14</xdr:row>
      <xdr:rowOff>114300</xdr:rowOff>
    </xdr:from>
    <xdr:to>
      <xdr:col>7</xdr:col>
      <xdr:colOff>413657</xdr:colOff>
      <xdr:row>29</xdr:row>
      <xdr:rowOff>81643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19671AB-1A97-4955-F09F-F5E54A10D6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108858</xdr:colOff>
      <xdr:row>29</xdr:row>
      <xdr:rowOff>157843</xdr:rowOff>
    </xdr:from>
    <xdr:to>
      <xdr:col>7</xdr:col>
      <xdr:colOff>413658</xdr:colOff>
      <xdr:row>44</xdr:row>
      <xdr:rowOff>125186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8797059B-4DC5-4FD6-1130-3D4F97D3A6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598714</xdr:colOff>
      <xdr:row>14</xdr:row>
      <xdr:rowOff>114300</xdr:rowOff>
    </xdr:from>
    <xdr:to>
      <xdr:col>15</xdr:col>
      <xdr:colOff>293914</xdr:colOff>
      <xdr:row>29</xdr:row>
      <xdr:rowOff>81643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7FC64EF2-009D-03EC-AFA3-8DAA4B38F2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587828</xdr:colOff>
      <xdr:row>30</xdr:row>
      <xdr:rowOff>5443</xdr:rowOff>
    </xdr:from>
    <xdr:to>
      <xdr:col>15</xdr:col>
      <xdr:colOff>283028</xdr:colOff>
      <xdr:row>44</xdr:row>
      <xdr:rowOff>157843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A98579D2-A9C4-1D1A-A909-3C86293996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587827</xdr:colOff>
      <xdr:row>45</xdr:row>
      <xdr:rowOff>81642</xdr:rowOff>
    </xdr:from>
    <xdr:to>
      <xdr:col>11</xdr:col>
      <xdr:colOff>283027</xdr:colOff>
      <xdr:row>60</xdr:row>
      <xdr:rowOff>48984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3D82D6DB-B3C9-DA4E-CD7F-5FFDFE6F99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43543</xdr:colOff>
      <xdr:row>14</xdr:row>
      <xdr:rowOff>136071</xdr:rowOff>
    </xdr:from>
    <xdr:to>
      <xdr:col>25</xdr:col>
      <xdr:colOff>348343</xdr:colOff>
      <xdr:row>29</xdr:row>
      <xdr:rowOff>103414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521D5CC7-FC83-AA65-93ED-9F194B0E0C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32657</xdr:colOff>
      <xdr:row>30</xdr:row>
      <xdr:rowOff>5443</xdr:rowOff>
    </xdr:from>
    <xdr:to>
      <xdr:col>25</xdr:col>
      <xdr:colOff>337457</xdr:colOff>
      <xdr:row>44</xdr:row>
      <xdr:rowOff>157843</xdr:rowOff>
    </xdr:to>
    <xdr:graphicFrame macro="">
      <xdr:nvGraphicFramePr>
        <xdr:cNvPr id="10" name="Диаграмма 9">
          <a:extLst>
            <a:ext uri="{FF2B5EF4-FFF2-40B4-BE49-F238E27FC236}">
              <a16:creationId xmlns:a16="http://schemas.microsoft.com/office/drawing/2014/main" id="{038DE066-FC47-3CA0-EC19-B1A209B8F1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598714</xdr:colOff>
      <xdr:row>14</xdr:row>
      <xdr:rowOff>146957</xdr:rowOff>
    </xdr:from>
    <xdr:to>
      <xdr:col>33</xdr:col>
      <xdr:colOff>293914</xdr:colOff>
      <xdr:row>29</xdr:row>
      <xdr:rowOff>114300</xdr:rowOff>
    </xdr:to>
    <xdr:graphicFrame macro="">
      <xdr:nvGraphicFramePr>
        <xdr:cNvPr id="11" name="Диаграмма 10">
          <a:extLst>
            <a:ext uri="{FF2B5EF4-FFF2-40B4-BE49-F238E27FC236}">
              <a16:creationId xmlns:a16="http://schemas.microsoft.com/office/drawing/2014/main" id="{27682DFE-6C7A-7F1A-0C10-5AA93B8E2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598714</xdr:colOff>
      <xdr:row>29</xdr:row>
      <xdr:rowOff>179615</xdr:rowOff>
    </xdr:from>
    <xdr:to>
      <xdr:col>33</xdr:col>
      <xdr:colOff>293914</xdr:colOff>
      <xdr:row>44</xdr:row>
      <xdr:rowOff>146958</xdr:rowOff>
    </xdr:to>
    <xdr:graphicFrame macro="">
      <xdr:nvGraphicFramePr>
        <xdr:cNvPr id="12" name="Диаграмма 11">
          <a:extLst>
            <a:ext uri="{FF2B5EF4-FFF2-40B4-BE49-F238E27FC236}">
              <a16:creationId xmlns:a16="http://schemas.microsoft.com/office/drawing/2014/main" id="{1ED2E0B3-1DC3-65F4-C2D9-E9DA83FED2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22</xdr:col>
      <xdr:colOff>163286</xdr:colOff>
      <xdr:row>45</xdr:row>
      <xdr:rowOff>70756</xdr:rowOff>
    </xdr:from>
    <xdr:to>
      <xdr:col>29</xdr:col>
      <xdr:colOff>468086</xdr:colOff>
      <xdr:row>60</xdr:row>
      <xdr:rowOff>38098</xdr:rowOff>
    </xdr:to>
    <xdr:graphicFrame macro="">
      <xdr:nvGraphicFramePr>
        <xdr:cNvPr id="13" name="Диаграмма 12">
          <a:extLst>
            <a:ext uri="{FF2B5EF4-FFF2-40B4-BE49-F238E27FC236}">
              <a16:creationId xmlns:a16="http://schemas.microsoft.com/office/drawing/2014/main" id="{32F24C1F-187B-7E3E-65A1-877DF4F83F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21"/>
  <sheetViews>
    <sheetView tabSelected="1" topLeftCell="M35" zoomScaleNormal="100" workbookViewId="0">
      <selection activeCell="AG56" sqref="AG56"/>
    </sheetView>
  </sheetViews>
  <sheetFormatPr defaultRowHeight="14.4" x14ac:dyDescent="0.3"/>
  <sheetData>
    <row r="1" spans="1:32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/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7</v>
      </c>
      <c r="AB1" s="1" t="s">
        <v>8</v>
      </c>
      <c r="AC1" s="1" t="s">
        <v>9</v>
      </c>
      <c r="AD1" s="1" t="s">
        <v>10</v>
      </c>
      <c r="AE1" s="1" t="s">
        <v>11</v>
      </c>
      <c r="AF1" s="1" t="s">
        <v>12</v>
      </c>
    </row>
    <row r="2" spans="1:32" ht="15.6" x14ac:dyDescent="0.3">
      <c r="A2" s="1">
        <v>1</v>
      </c>
      <c r="B2" s="1" t="s">
        <v>13</v>
      </c>
      <c r="C2" s="1" t="s">
        <v>14</v>
      </c>
      <c r="D2" s="1">
        <v>2.2200000000000002</v>
      </c>
      <c r="E2" s="1">
        <v>2.19</v>
      </c>
      <c r="F2" s="1">
        <v>2.2000000000000002</v>
      </c>
      <c r="G2" s="1">
        <v>2.21</v>
      </c>
      <c r="H2" s="1">
        <v>2.21</v>
      </c>
      <c r="I2" s="1">
        <v>2.21</v>
      </c>
      <c r="J2" s="1">
        <v>2.2000000000000002</v>
      </c>
      <c r="K2" s="1">
        <v>2.21</v>
      </c>
      <c r="L2" s="1">
        <v>2.2200000000000002</v>
      </c>
      <c r="M2" s="1">
        <v>2.21</v>
      </c>
      <c r="N2" s="2"/>
      <c r="T2" s="1">
        <v>1</v>
      </c>
      <c r="U2" s="1" t="s">
        <v>13</v>
      </c>
      <c r="V2" s="1">
        <v>2.2000000000000002</v>
      </c>
      <c r="W2" s="1">
        <f t="shared" ref="W2:AF2" si="0">D2-$V$2</f>
        <v>2.0000000000000018E-2</v>
      </c>
      <c r="X2" s="1">
        <f t="shared" si="0"/>
        <v>-1.0000000000000231E-2</v>
      </c>
      <c r="Y2" s="1">
        <f t="shared" si="0"/>
        <v>0</v>
      </c>
      <c r="Z2" s="1">
        <f t="shared" si="0"/>
        <v>9.9999999999997868E-3</v>
      </c>
      <c r="AA2" s="1">
        <f t="shared" si="0"/>
        <v>9.9999999999997868E-3</v>
      </c>
      <c r="AB2" s="1">
        <f t="shared" si="0"/>
        <v>9.9999999999997868E-3</v>
      </c>
      <c r="AC2" s="1">
        <f t="shared" si="0"/>
        <v>0</v>
      </c>
      <c r="AD2" s="1">
        <f t="shared" si="0"/>
        <v>9.9999999999997868E-3</v>
      </c>
      <c r="AE2" s="1">
        <f t="shared" si="0"/>
        <v>2.0000000000000018E-2</v>
      </c>
      <c r="AF2" s="1">
        <f t="shared" si="0"/>
        <v>9.9999999999997868E-3</v>
      </c>
    </row>
    <row r="3" spans="1:32" ht="15.6" x14ac:dyDescent="0.3">
      <c r="A3" s="1">
        <v>2</v>
      </c>
      <c r="B3" s="1" t="s">
        <v>15</v>
      </c>
      <c r="C3" s="1" t="s">
        <v>16</v>
      </c>
      <c r="D3" s="1">
        <v>6.85</v>
      </c>
      <c r="E3" s="1">
        <v>6.84</v>
      </c>
      <c r="F3" s="1">
        <v>6.86</v>
      </c>
      <c r="G3" s="1">
        <v>6.85</v>
      </c>
      <c r="H3" s="1">
        <v>6.84</v>
      </c>
      <c r="I3" s="1">
        <v>6.85</v>
      </c>
      <c r="J3" s="1">
        <v>6.85</v>
      </c>
      <c r="K3" s="1">
        <v>6.84</v>
      </c>
      <c r="L3" s="1">
        <v>6.84</v>
      </c>
      <c r="M3" s="1">
        <v>6.85</v>
      </c>
      <c r="N3" s="2"/>
      <c r="T3" s="1">
        <v>2</v>
      </c>
      <c r="U3" s="1" t="s">
        <v>15</v>
      </c>
      <c r="V3" s="1">
        <v>6.8</v>
      </c>
      <c r="W3" s="1">
        <f t="shared" ref="W3:AF3" si="1">D3-$V$3</f>
        <v>4.9999999999999822E-2</v>
      </c>
      <c r="X3" s="1">
        <f t="shared" si="1"/>
        <v>4.0000000000000036E-2</v>
      </c>
      <c r="Y3" s="1">
        <f t="shared" si="1"/>
        <v>6.0000000000000497E-2</v>
      </c>
      <c r="Z3" s="1">
        <f t="shared" si="1"/>
        <v>4.9999999999999822E-2</v>
      </c>
      <c r="AA3" s="1">
        <f t="shared" si="1"/>
        <v>4.0000000000000036E-2</v>
      </c>
      <c r="AB3" s="1">
        <f t="shared" si="1"/>
        <v>4.9999999999999822E-2</v>
      </c>
      <c r="AC3" s="1">
        <f t="shared" si="1"/>
        <v>4.9999999999999822E-2</v>
      </c>
      <c r="AD3" s="1">
        <f t="shared" si="1"/>
        <v>4.0000000000000036E-2</v>
      </c>
      <c r="AE3" s="1">
        <f t="shared" si="1"/>
        <v>4.0000000000000036E-2</v>
      </c>
      <c r="AF3" s="1">
        <f t="shared" si="1"/>
        <v>4.9999999999999822E-2</v>
      </c>
    </row>
    <row r="4" spans="1:32" ht="15.6" x14ac:dyDescent="0.3">
      <c r="A4" s="1">
        <v>3</v>
      </c>
      <c r="B4" s="1" t="s">
        <v>17</v>
      </c>
      <c r="C4" s="1" t="s">
        <v>18</v>
      </c>
      <c r="D4" s="1">
        <v>97.1</v>
      </c>
      <c r="E4" s="1">
        <v>99.5</v>
      </c>
      <c r="F4" s="1">
        <v>98.6</v>
      </c>
      <c r="G4" s="1">
        <v>99.3</v>
      </c>
      <c r="H4" s="1">
        <v>99.5</v>
      </c>
      <c r="I4" s="1">
        <v>98.7</v>
      </c>
      <c r="J4" s="1">
        <v>99.6</v>
      </c>
      <c r="K4" s="1">
        <v>99.5</v>
      </c>
      <c r="L4" s="1">
        <v>99.3</v>
      </c>
      <c r="M4" s="1">
        <v>99.9</v>
      </c>
      <c r="N4" s="2"/>
      <c r="T4" s="1">
        <v>3</v>
      </c>
      <c r="U4" s="1" t="s">
        <v>17</v>
      </c>
      <c r="V4" s="1">
        <v>100</v>
      </c>
      <c r="W4" s="1">
        <f t="shared" ref="W4:AF4" si="2">D4-$V$4</f>
        <v>-2.9000000000000057</v>
      </c>
      <c r="X4" s="1">
        <f t="shared" si="2"/>
        <v>-0.5</v>
      </c>
      <c r="Y4" s="1">
        <f t="shared" si="2"/>
        <v>-1.4000000000000057</v>
      </c>
      <c r="Z4" s="1">
        <f t="shared" si="2"/>
        <v>-0.70000000000000284</v>
      </c>
      <c r="AA4" s="1">
        <f t="shared" si="2"/>
        <v>-0.5</v>
      </c>
      <c r="AB4" s="1">
        <f t="shared" si="2"/>
        <v>-1.2999999999999972</v>
      </c>
      <c r="AC4" s="1">
        <f t="shared" si="2"/>
        <v>-0.40000000000000568</v>
      </c>
      <c r="AD4" s="1">
        <f t="shared" si="2"/>
        <v>-0.5</v>
      </c>
      <c r="AE4" s="1">
        <f t="shared" si="2"/>
        <v>-0.70000000000000284</v>
      </c>
      <c r="AF4" s="1">
        <f t="shared" si="2"/>
        <v>-9.9999999999994316E-2</v>
      </c>
    </row>
    <row r="5" spans="1:32" ht="15.6" x14ac:dyDescent="0.3">
      <c r="A5" s="1">
        <v>4</v>
      </c>
      <c r="B5" s="1" t="s">
        <v>19</v>
      </c>
      <c r="C5" s="1" t="s">
        <v>21</v>
      </c>
      <c r="D5" s="1">
        <v>809.7</v>
      </c>
      <c r="E5" s="1">
        <v>809.8</v>
      </c>
      <c r="F5" s="1">
        <v>810.3</v>
      </c>
      <c r="G5" s="1">
        <v>810.2</v>
      </c>
      <c r="H5" s="1">
        <v>809.8</v>
      </c>
      <c r="I5" s="1">
        <v>809.5</v>
      </c>
      <c r="J5" s="1">
        <v>810.1</v>
      </c>
      <c r="K5" s="1">
        <v>809.9</v>
      </c>
      <c r="L5" s="1">
        <v>810.3</v>
      </c>
      <c r="M5" s="1">
        <v>810.4</v>
      </c>
      <c r="N5" s="2"/>
      <c r="T5" s="1">
        <v>4</v>
      </c>
      <c r="U5" s="1" t="s">
        <v>19</v>
      </c>
      <c r="V5" s="1">
        <v>810</v>
      </c>
      <c r="W5" s="1">
        <f t="shared" ref="W5:AF5" si="3">D5-$V$5</f>
        <v>-0.29999999999995453</v>
      </c>
      <c r="X5" s="1">
        <f t="shared" si="3"/>
        <v>-0.20000000000004547</v>
      </c>
      <c r="Y5" s="1">
        <f t="shared" si="3"/>
        <v>0.29999999999995453</v>
      </c>
      <c r="Z5" s="1">
        <f t="shared" si="3"/>
        <v>0.20000000000004547</v>
      </c>
      <c r="AA5" s="1">
        <f t="shared" si="3"/>
        <v>-0.20000000000004547</v>
      </c>
      <c r="AB5" s="1">
        <f t="shared" si="3"/>
        <v>-0.5</v>
      </c>
      <c r="AC5" s="1">
        <f t="shared" si="3"/>
        <v>0.10000000000002274</v>
      </c>
      <c r="AD5" s="1">
        <f t="shared" si="3"/>
        <v>-0.10000000000002274</v>
      </c>
      <c r="AE5" s="1">
        <f t="shared" si="3"/>
        <v>0.29999999999995453</v>
      </c>
      <c r="AF5" s="1">
        <f t="shared" si="3"/>
        <v>0.39999999999997726</v>
      </c>
    </row>
    <row r="6" spans="1:32" ht="15.6" x14ac:dyDescent="0.3">
      <c r="A6" s="1">
        <v>5</v>
      </c>
      <c r="B6" s="1" t="s">
        <v>20</v>
      </c>
      <c r="C6" s="1" t="s">
        <v>22</v>
      </c>
      <c r="D6" s="1">
        <v>80.599999999999994</v>
      </c>
      <c r="E6" s="1">
        <v>80.2</v>
      </c>
      <c r="F6" s="1">
        <v>80.5</v>
      </c>
      <c r="G6" s="1">
        <v>79.8</v>
      </c>
      <c r="H6" s="1">
        <v>80.099999999999994</v>
      </c>
      <c r="I6" s="1">
        <v>79.599999999999994</v>
      </c>
      <c r="J6" s="1">
        <v>79.8</v>
      </c>
      <c r="K6" s="1">
        <v>80.2</v>
      </c>
      <c r="L6" s="1">
        <v>80.400000000000006</v>
      </c>
      <c r="M6" s="1">
        <v>79.7</v>
      </c>
      <c r="N6" s="2"/>
      <c r="T6" s="1">
        <v>5</v>
      </c>
      <c r="U6" s="1" t="s">
        <v>20</v>
      </c>
      <c r="V6" s="1">
        <v>80</v>
      </c>
      <c r="W6" s="1">
        <f t="shared" ref="W6:AF6" si="4">D6-$V$6</f>
        <v>0.59999999999999432</v>
      </c>
      <c r="X6" s="1">
        <f t="shared" si="4"/>
        <v>0.20000000000000284</v>
      </c>
      <c r="Y6" s="1">
        <f t="shared" si="4"/>
        <v>0.5</v>
      </c>
      <c r="Z6" s="1">
        <f t="shared" si="4"/>
        <v>-0.20000000000000284</v>
      </c>
      <c r="AA6" s="1">
        <f t="shared" si="4"/>
        <v>9.9999999999994316E-2</v>
      </c>
      <c r="AB6" s="1">
        <f t="shared" si="4"/>
        <v>-0.40000000000000568</v>
      </c>
      <c r="AC6" s="1">
        <f t="shared" si="4"/>
        <v>-0.20000000000000284</v>
      </c>
      <c r="AD6" s="1">
        <f t="shared" si="4"/>
        <v>0.20000000000000284</v>
      </c>
      <c r="AE6" s="1">
        <f t="shared" si="4"/>
        <v>0.40000000000000568</v>
      </c>
      <c r="AF6" s="1">
        <f t="shared" si="4"/>
        <v>-0.29999999999999716</v>
      </c>
    </row>
    <row r="7" spans="1:32" ht="15.6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spans="1:32" ht="15.6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spans="1:32" ht="15.6" x14ac:dyDescent="0.3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1" t="s">
        <v>5</v>
      </c>
      <c r="G9" s="1" t="s">
        <v>6</v>
      </c>
      <c r="H9" s="1" t="s">
        <v>7</v>
      </c>
      <c r="I9" s="1" t="s">
        <v>8</v>
      </c>
      <c r="J9" s="1" t="s">
        <v>9</v>
      </c>
      <c r="K9" s="1" t="s">
        <v>10</v>
      </c>
      <c r="L9" s="1" t="s">
        <v>11</v>
      </c>
      <c r="M9" s="1" t="s">
        <v>12</v>
      </c>
      <c r="N9" s="2"/>
      <c r="T9" s="1" t="s">
        <v>0</v>
      </c>
      <c r="U9" s="1" t="s">
        <v>1</v>
      </c>
      <c r="V9" s="1" t="s">
        <v>2</v>
      </c>
      <c r="W9" s="1" t="s">
        <v>3</v>
      </c>
      <c r="X9" s="1" t="s">
        <v>4</v>
      </c>
      <c r="Y9" s="1" t="s">
        <v>5</v>
      </c>
      <c r="Z9" s="1" t="s">
        <v>6</v>
      </c>
      <c r="AA9" s="1" t="s">
        <v>7</v>
      </c>
      <c r="AB9" s="1" t="s">
        <v>8</v>
      </c>
      <c r="AC9" s="1" t="s">
        <v>9</v>
      </c>
      <c r="AD9" s="1" t="s">
        <v>10</v>
      </c>
      <c r="AE9" s="1" t="s">
        <v>11</v>
      </c>
      <c r="AF9" s="1" t="s">
        <v>12</v>
      </c>
    </row>
    <row r="10" spans="1:32" ht="15.6" x14ac:dyDescent="0.3">
      <c r="A10" s="1">
        <v>1</v>
      </c>
      <c r="B10" s="1" t="s">
        <v>13</v>
      </c>
      <c r="C10" s="1" t="s">
        <v>14</v>
      </c>
      <c r="D10" s="1">
        <v>2.21</v>
      </c>
      <c r="E10" s="1">
        <v>2.21</v>
      </c>
      <c r="F10" s="1">
        <v>2.2000000000000002</v>
      </c>
      <c r="G10" s="1">
        <v>2.21</v>
      </c>
      <c r="H10" s="1">
        <v>2.2200000000000002</v>
      </c>
      <c r="I10" s="1">
        <v>2.21</v>
      </c>
      <c r="J10" s="1">
        <v>2.2000000000000002</v>
      </c>
      <c r="K10" s="1">
        <v>2.21</v>
      </c>
      <c r="L10" s="1">
        <v>2.21</v>
      </c>
      <c r="M10" s="1">
        <v>2.2200000000000002</v>
      </c>
      <c r="N10" s="2"/>
      <c r="T10" s="1">
        <v>1</v>
      </c>
      <c r="U10" s="1" t="s">
        <v>13</v>
      </c>
      <c r="V10" s="1">
        <v>2.2000000000000002</v>
      </c>
      <c r="W10" s="1">
        <f t="shared" ref="W10:AF10" si="5">D10-$V$10</f>
        <v>9.9999999999997868E-3</v>
      </c>
      <c r="X10" s="1">
        <f t="shared" si="5"/>
        <v>9.9999999999997868E-3</v>
      </c>
      <c r="Y10" s="1">
        <f t="shared" si="5"/>
        <v>0</v>
      </c>
      <c r="Z10" s="1">
        <f t="shared" si="5"/>
        <v>9.9999999999997868E-3</v>
      </c>
      <c r="AA10" s="1">
        <f t="shared" si="5"/>
        <v>2.0000000000000018E-2</v>
      </c>
      <c r="AB10" s="1">
        <f t="shared" si="5"/>
        <v>9.9999999999997868E-3</v>
      </c>
      <c r="AC10" s="1">
        <f t="shared" si="5"/>
        <v>0</v>
      </c>
      <c r="AD10" s="1">
        <f t="shared" si="5"/>
        <v>9.9999999999997868E-3</v>
      </c>
      <c r="AE10" s="1">
        <f t="shared" si="5"/>
        <v>9.9999999999997868E-3</v>
      </c>
      <c r="AF10" s="1">
        <f t="shared" si="5"/>
        <v>2.0000000000000018E-2</v>
      </c>
    </row>
    <row r="11" spans="1:32" ht="15.6" x14ac:dyDescent="0.3">
      <c r="A11" s="1">
        <v>2</v>
      </c>
      <c r="B11" s="1" t="s">
        <v>15</v>
      </c>
      <c r="C11" s="1" t="s">
        <v>16</v>
      </c>
      <c r="D11" s="1">
        <v>6.89</v>
      </c>
      <c r="E11" s="1">
        <v>6.88</v>
      </c>
      <c r="F11" s="1">
        <v>6.88</v>
      </c>
      <c r="G11" s="1">
        <v>6.87</v>
      </c>
      <c r="H11" s="1">
        <v>6.81</v>
      </c>
      <c r="I11" s="1">
        <v>6.87</v>
      </c>
      <c r="J11" s="1">
        <v>6.88</v>
      </c>
      <c r="K11" s="1">
        <v>6.87</v>
      </c>
      <c r="L11" s="1">
        <v>6.89</v>
      </c>
      <c r="M11" s="1">
        <v>6.88</v>
      </c>
      <c r="N11" s="2"/>
      <c r="T11" s="1">
        <v>2</v>
      </c>
      <c r="U11" s="1" t="s">
        <v>15</v>
      </c>
      <c r="V11" s="1">
        <v>6.8</v>
      </c>
      <c r="W11" s="1">
        <f t="shared" ref="W11:AF11" si="6">D11-$V$11</f>
        <v>8.9999999999999858E-2</v>
      </c>
      <c r="X11" s="1">
        <f t="shared" si="6"/>
        <v>8.0000000000000071E-2</v>
      </c>
      <c r="Y11" s="1">
        <f t="shared" si="6"/>
        <v>8.0000000000000071E-2</v>
      </c>
      <c r="Z11" s="1">
        <f t="shared" si="6"/>
        <v>7.0000000000000284E-2</v>
      </c>
      <c r="AA11" s="1">
        <f t="shared" si="6"/>
        <v>9.9999999999997868E-3</v>
      </c>
      <c r="AB11" s="1">
        <f t="shared" si="6"/>
        <v>7.0000000000000284E-2</v>
      </c>
      <c r="AC11" s="1">
        <f t="shared" si="6"/>
        <v>8.0000000000000071E-2</v>
      </c>
      <c r="AD11" s="1">
        <f t="shared" si="6"/>
        <v>7.0000000000000284E-2</v>
      </c>
      <c r="AE11" s="1">
        <f t="shared" si="6"/>
        <v>8.9999999999999858E-2</v>
      </c>
      <c r="AF11" s="1">
        <f t="shared" si="6"/>
        <v>8.0000000000000071E-2</v>
      </c>
    </row>
    <row r="12" spans="1:32" ht="15.6" x14ac:dyDescent="0.3">
      <c r="A12" s="1">
        <v>3</v>
      </c>
      <c r="B12" s="1" t="s">
        <v>17</v>
      </c>
      <c r="C12" s="1" t="s">
        <v>18</v>
      </c>
      <c r="D12" s="1">
        <v>100.8</v>
      </c>
      <c r="E12" s="1">
        <v>99.5</v>
      </c>
      <c r="F12" s="1">
        <v>99.7</v>
      </c>
      <c r="G12" s="1">
        <v>99.7</v>
      </c>
      <c r="H12" s="1">
        <v>100.2</v>
      </c>
      <c r="I12" s="1">
        <v>100.5</v>
      </c>
      <c r="J12" s="1">
        <v>99.8</v>
      </c>
      <c r="K12" s="1">
        <v>99.7</v>
      </c>
      <c r="L12" s="1">
        <v>99.8</v>
      </c>
      <c r="M12" s="1">
        <v>100.2</v>
      </c>
      <c r="N12" s="2"/>
      <c r="T12" s="1">
        <v>3</v>
      </c>
      <c r="U12" s="1" t="s">
        <v>17</v>
      </c>
      <c r="V12" s="1">
        <v>100</v>
      </c>
      <c r="W12" s="1">
        <f t="shared" ref="W12:AF12" si="7">D12-$V$12</f>
        <v>0.79999999999999716</v>
      </c>
      <c r="X12" s="1">
        <f t="shared" si="7"/>
        <v>-0.5</v>
      </c>
      <c r="Y12" s="1">
        <f t="shared" si="7"/>
        <v>-0.29999999999999716</v>
      </c>
      <c r="Z12" s="1">
        <f t="shared" si="7"/>
        <v>-0.29999999999999716</v>
      </c>
      <c r="AA12" s="1">
        <f t="shared" si="7"/>
        <v>0.20000000000000284</v>
      </c>
      <c r="AB12" s="1">
        <f t="shared" si="7"/>
        <v>0.5</v>
      </c>
      <c r="AC12" s="1">
        <f t="shared" si="7"/>
        <v>-0.20000000000000284</v>
      </c>
      <c r="AD12" s="1">
        <f t="shared" si="7"/>
        <v>-0.29999999999999716</v>
      </c>
      <c r="AE12" s="1">
        <f t="shared" si="7"/>
        <v>-0.20000000000000284</v>
      </c>
      <c r="AF12" s="1">
        <f t="shared" si="7"/>
        <v>0.20000000000000284</v>
      </c>
    </row>
    <row r="13" spans="1:32" ht="15.6" x14ac:dyDescent="0.3">
      <c r="A13" s="1">
        <v>4</v>
      </c>
      <c r="B13" s="1" t="s">
        <v>19</v>
      </c>
      <c r="C13" s="1" t="s">
        <v>21</v>
      </c>
      <c r="D13" s="1">
        <v>810.2</v>
      </c>
      <c r="E13" s="1">
        <v>809.8</v>
      </c>
      <c r="F13" s="1">
        <v>810.4</v>
      </c>
      <c r="G13" s="1">
        <v>810.1</v>
      </c>
      <c r="H13" s="1">
        <v>809.9</v>
      </c>
      <c r="I13" s="1">
        <v>810.2</v>
      </c>
      <c r="J13" s="1">
        <v>810</v>
      </c>
      <c r="K13" s="1">
        <v>809.7</v>
      </c>
      <c r="L13" s="1">
        <v>809.8</v>
      </c>
      <c r="M13" s="1">
        <v>810.2</v>
      </c>
      <c r="N13" s="2"/>
      <c r="T13" s="1">
        <v>4</v>
      </c>
      <c r="U13" s="1" t="s">
        <v>19</v>
      </c>
      <c r="V13" s="1">
        <v>810</v>
      </c>
      <c r="W13" s="1">
        <f t="shared" ref="W13:AF13" si="8">D13-$V$13</f>
        <v>0.20000000000004547</v>
      </c>
      <c r="X13" s="1">
        <f t="shared" si="8"/>
        <v>-0.20000000000004547</v>
      </c>
      <c r="Y13" s="1">
        <f t="shared" si="8"/>
        <v>0.39999999999997726</v>
      </c>
      <c r="Z13" s="1">
        <f t="shared" si="8"/>
        <v>0.10000000000002274</v>
      </c>
      <c r="AA13" s="1">
        <f t="shared" si="8"/>
        <v>-0.10000000000002274</v>
      </c>
      <c r="AB13" s="1">
        <f t="shared" si="8"/>
        <v>0.20000000000004547</v>
      </c>
      <c r="AC13" s="1">
        <f t="shared" si="8"/>
        <v>0</v>
      </c>
      <c r="AD13" s="1">
        <f t="shared" si="8"/>
        <v>-0.29999999999995453</v>
      </c>
      <c r="AE13" s="1">
        <f t="shared" si="8"/>
        <v>-0.20000000000004547</v>
      </c>
      <c r="AF13" s="1">
        <f t="shared" si="8"/>
        <v>0.20000000000004547</v>
      </c>
    </row>
    <row r="14" spans="1:32" ht="15.6" x14ac:dyDescent="0.3">
      <c r="A14" s="1">
        <v>5</v>
      </c>
      <c r="B14" s="1" t="s">
        <v>20</v>
      </c>
      <c r="C14" s="1" t="s">
        <v>22</v>
      </c>
      <c r="D14" s="1">
        <v>80.7</v>
      </c>
      <c r="E14" s="1">
        <v>80.5</v>
      </c>
      <c r="F14" s="1">
        <v>80.5</v>
      </c>
      <c r="G14" s="1">
        <v>80.2</v>
      </c>
      <c r="H14" s="1">
        <v>79.8</v>
      </c>
      <c r="I14" s="1">
        <v>80.599999999999994</v>
      </c>
      <c r="J14" s="1">
        <v>80.2</v>
      </c>
      <c r="K14" s="1">
        <v>79.900000000000006</v>
      </c>
      <c r="L14" s="1">
        <v>80.400000000000006</v>
      </c>
      <c r="M14" s="1">
        <v>80.599999999999994</v>
      </c>
      <c r="N14" s="2"/>
      <c r="T14" s="1">
        <v>5</v>
      </c>
      <c r="U14" s="1" t="s">
        <v>20</v>
      </c>
      <c r="V14" s="1">
        <v>80</v>
      </c>
      <c r="W14" s="1">
        <f t="shared" ref="W14:AF14" si="9">D14-$V$14</f>
        <v>0.70000000000000284</v>
      </c>
      <c r="X14" s="1">
        <f t="shared" si="9"/>
        <v>0.5</v>
      </c>
      <c r="Y14" s="1">
        <f t="shared" si="9"/>
        <v>0.5</v>
      </c>
      <c r="Z14" s="1">
        <f t="shared" si="9"/>
        <v>0.20000000000000284</v>
      </c>
      <c r="AA14" s="1">
        <f t="shared" si="9"/>
        <v>-0.20000000000000284</v>
      </c>
      <c r="AB14" s="1">
        <f t="shared" si="9"/>
        <v>0.59999999999999432</v>
      </c>
      <c r="AC14" s="1">
        <f t="shared" si="9"/>
        <v>0.20000000000000284</v>
      </c>
      <c r="AD14" s="1">
        <f t="shared" si="9"/>
        <v>-9.9999999999994316E-2</v>
      </c>
      <c r="AE14" s="1">
        <f t="shared" si="9"/>
        <v>0.40000000000000568</v>
      </c>
      <c r="AF14" s="1">
        <f t="shared" si="9"/>
        <v>0.59999999999999432</v>
      </c>
    </row>
    <row r="21" spans="42:42" x14ac:dyDescent="0.3">
      <c r="AP21" t="s">
        <v>23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Fanatsio PC</dc:creator>
  <cp:lastModifiedBy>Fanatsio PC</cp:lastModifiedBy>
  <dcterms:created xsi:type="dcterms:W3CDTF">2015-06-05T18:19:34Z</dcterms:created>
  <dcterms:modified xsi:type="dcterms:W3CDTF">2026-03-07T04:24:17Z</dcterms:modified>
</cp:coreProperties>
</file>