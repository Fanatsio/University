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Университет\University\4 курс\Metrology\"/>
    </mc:Choice>
  </mc:AlternateContent>
  <xr:revisionPtr revIDLastSave="0" documentId="13_ncr:1_{17EBDCAB-7411-45E9-A0CE-F15D4FC6ED6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Лист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14" i="1" l="1"/>
  <c r="T14" i="1"/>
  <c r="U14" i="1"/>
  <c r="V14" i="1"/>
  <c r="W14" i="1"/>
  <c r="X14" i="1"/>
  <c r="Y14" i="1"/>
  <c r="Z14" i="1"/>
  <c r="AA14" i="1"/>
  <c r="R14" i="1"/>
  <c r="S13" i="1"/>
  <c r="T13" i="1"/>
  <c r="U13" i="1"/>
  <c r="V13" i="1"/>
  <c r="W13" i="1"/>
  <c r="X13" i="1"/>
  <c r="Y13" i="1"/>
  <c r="Z13" i="1"/>
  <c r="AA13" i="1"/>
  <c r="R13" i="1"/>
  <c r="S12" i="1"/>
  <c r="T12" i="1"/>
  <c r="U12" i="1"/>
  <c r="V12" i="1"/>
  <c r="W12" i="1"/>
  <c r="X12" i="1"/>
  <c r="Y12" i="1"/>
  <c r="Z12" i="1"/>
  <c r="AA12" i="1"/>
  <c r="R12" i="1"/>
  <c r="S11" i="1"/>
  <c r="T11" i="1"/>
  <c r="U11" i="1"/>
  <c r="V11" i="1"/>
  <c r="W11" i="1"/>
  <c r="X11" i="1"/>
  <c r="Y11" i="1"/>
  <c r="Z11" i="1"/>
  <c r="AA11" i="1"/>
  <c r="R11" i="1"/>
  <c r="S10" i="1"/>
  <c r="T10" i="1"/>
  <c r="U10" i="1"/>
  <c r="V10" i="1"/>
  <c r="W10" i="1"/>
  <c r="X10" i="1"/>
  <c r="Y10" i="1"/>
  <c r="Z10" i="1"/>
  <c r="AA10" i="1"/>
  <c r="R10" i="1"/>
  <c r="S6" i="1"/>
  <c r="T6" i="1"/>
  <c r="U6" i="1"/>
  <c r="V6" i="1"/>
  <c r="W6" i="1"/>
  <c r="X6" i="1"/>
  <c r="Y6" i="1"/>
  <c r="Z6" i="1"/>
  <c r="AA6" i="1"/>
  <c r="R6" i="1"/>
  <c r="S5" i="1"/>
  <c r="T5" i="1"/>
  <c r="U5" i="1"/>
  <c r="V5" i="1"/>
  <c r="W5" i="1"/>
  <c r="X5" i="1"/>
  <c r="Y5" i="1"/>
  <c r="Z5" i="1"/>
  <c r="AA5" i="1"/>
  <c r="R5" i="1"/>
  <c r="S4" i="1"/>
  <c r="T4" i="1"/>
  <c r="U4" i="1"/>
  <c r="V4" i="1"/>
  <c r="W4" i="1"/>
  <c r="X4" i="1"/>
  <c r="Y4" i="1"/>
  <c r="Z4" i="1"/>
  <c r="AA4" i="1"/>
  <c r="R4" i="1"/>
  <c r="S3" i="1"/>
  <c r="T3" i="1"/>
  <c r="U3" i="1"/>
  <c r="V3" i="1"/>
  <c r="W3" i="1"/>
  <c r="X3" i="1"/>
  <c r="Y3" i="1"/>
  <c r="Z3" i="1"/>
  <c r="AA3" i="1"/>
  <c r="R3" i="1"/>
  <c r="S2" i="1"/>
  <c r="T2" i="1"/>
  <c r="U2" i="1"/>
  <c r="V2" i="1"/>
  <c r="W2" i="1"/>
  <c r="X2" i="1"/>
  <c r="Y2" i="1"/>
  <c r="Z2" i="1"/>
  <c r="AA2" i="1"/>
  <c r="R2" i="1"/>
</calcChain>
</file>

<file path=xl/sharedStrings.xml><?xml version="1.0" encoding="utf-8"?>
<sst xmlns="http://schemas.openxmlformats.org/spreadsheetml/2006/main" count="82" uniqueCount="23">
  <si>
    <t>№</t>
  </si>
  <si>
    <t>Цвет</t>
  </si>
  <si>
    <t>Номинал</t>
  </si>
  <si>
    <t>Замер 1</t>
  </si>
  <si>
    <t>Замер 2</t>
  </si>
  <si>
    <t>Замер 3</t>
  </si>
  <si>
    <t>Замер 4</t>
  </si>
  <si>
    <t>Замер 5</t>
  </si>
  <si>
    <t>Замер 6</t>
  </si>
  <si>
    <t>Замер 7</t>
  </si>
  <si>
    <t>Замер 8</t>
  </si>
  <si>
    <t>Замер 9</t>
  </si>
  <si>
    <t>Замер 10</t>
  </si>
  <si>
    <t>2К2</t>
  </si>
  <si>
    <t>2,2 кОм</t>
  </si>
  <si>
    <t>6К8</t>
  </si>
  <si>
    <t>6,8 кОм</t>
  </si>
  <si>
    <t>КЧЧОК</t>
  </si>
  <si>
    <t>100 кОм</t>
  </si>
  <si>
    <t>СКФЗ</t>
  </si>
  <si>
    <t>СЧГК</t>
  </si>
  <si>
    <t>810 МОм</t>
  </si>
  <si>
    <t>80 МОм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</si>
</sst>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Первый мультиметр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Лист1!$P$2</c:f>
              <c:strCache>
                <c:ptCount val="1"/>
                <c:pt idx="0">
                  <c:v>2К2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Лист1!$R$1:$AA$1</c:f>
              <c:strCache>
                <c:ptCount val="10"/>
                <c:pt idx="0">
                  <c:v>Замер 1</c:v>
                </c:pt>
                <c:pt idx="1">
                  <c:v>Замер 2</c:v>
                </c:pt>
                <c:pt idx="2">
                  <c:v>Замер 3</c:v>
                </c:pt>
                <c:pt idx="3">
                  <c:v>Замер 4</c:v>
                </c:pt>
                <c:pt idx="4">
                  <c:v>Замер 5</c:v>
                </c:pt>
                <c:pt idx="5">
                  <c:v>Замер 6</c:v>
                </c:pt>
                <c:pt idx="6">
                  <c:v>Замер 7</c:v>
                </c:pt>
                <c:pt idx="7">
                  <c:v>Замер 8</c:v>
                </c:pt>
                <c:pt idx="8">
                  <c:v>Замер 9</c:v>
                </c:pt>
                <c:pt idx="9">
                  <c:v>Замер 10</c:v>
                </c:pt>
              </c:strCache>
            </c:strRef>
          </c:cat>
          <c:val>
            <c:numRef>
              <c:f>Лист1!$R$2:$AA$2</c:f>
              <c:numCache>
                <c:formatCode>General</c:formatCode>
                <c:ptCount val="10"/>
                <c:pt idx="0">
                  <c:v>2.0000000000000018E-2</c:v>
                </c:pt>
                <c:pt idx="1">
                  <c:v>-1.0000000000000231E-2</c:v>
                </c:pt>
                <c:pt idx="2">
                  <c:v>0</c:v>
                </c:pt>
                <c:pt idx="3">
                  <c:v>9.9999999999997868E-3</c:v>
                </c:pt>
                <c:pt idx="4">
                  <c:v>9.9999999999997868E-3</c:v>
                </c:pt>
                <c:pt idx="5">
                  <c:v>9.9999999999997868E-3</c:v>
                </c:pt>
                <c:pt idx="6">
                  <c:v>0</c:v>
                </c:pt>
                <c:pt idx="7">
                  <c:v>9.9999999999997868E-3</c:v>
                </c:pt>
                <c:pt idx="8">
                  <c:v>2.0000000000000018E-2</c:v>
                </c:pt>
                <c:pt idx="9">
                  <c:v>9.9999999999997868E-3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64-49D0-9180-37F8AB8BE628}"/>
            </c:ext>
          </c:extLst>
        </c:ser>
        <c:ser>
          <c:idx val="1"/>
          <c:order val="1"/>
          <c:tx>
            <c:strRef>
              <c:f>Лист1!$P$3</c:f>
              <c:strCache>
                <c:ptCount val="1"/>
                <c:pt idx="0">
                  <c:v>6К8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Лист1!$R$1:$AA$1</c:f>
              <c:strCache>
                <c:ptCount val="10"/>
                <c:pt idx="0">
                  <c:v>Замер 1</c:v>
                </c:pt>
                <c:pt idx="1">
                  <c:v>Замер 2</c:v>
                </c:pt>
                <c:pt idx="2">
                  <c:v>Замер 3</c:v>
                </c:pt>
                <c:pt idx="3">
                  <c:v>Замер 4</c:v>
                </c:pt>
                <c:pt idx="4">
                  <c:v>Замер 5</c:v>
                </c:pt>
                <c:pt idx="5">
                  <c:v>Замер 6</c:v>
                </c:pt>
                <c:pt idx="6">
                  <c:v>Замер 7</c:v>
                </c:pt>
                <c:pt idx="7">
                  <c:v>Замер 8</c:v>
                </c:pt>
                <c:pt idx="8">
                  <c:v>Замер 9</c:v>
                </c:pt>
                <c:pt idx="9">
                  <c:v>Замер 10</c:v>
                </c:pt>
              </c:strCache>
            </c:strRef>
          </c:cat>
          <c:val>
            <c:numRef>
              <c:f>Лист1!$R$3:$AA$3</c:f>
              <c:numCache>
                <c:formatCode>General</c:formatCode>
                <c:ptCount val="10"/>
                <c:pt idx="0">
                  <c:v>4.9999999999999822E-2</c:v>
                </c:pt>
                <c:pt idx="1">
                  <c:v>4.0000000000000036E-2</c:v>
                </c:pt>
                <c:pt idx="2">
                  <c:v>6.0000000000000497E-2</c:v>
                </c:pt>
                <c:pt idx="3">
                  <c:v>4.9999999999999822E-2</c:v>
                </c:pt>
                <c:pt idx="4">
                  <c:v>4.0000000000000036E-2</c:v>
                </c:pt>
                <c:pt idx="5">
                  <c:v>4.9999999999999822E-2</c:v>
                </c:pt>
                <c:pt idx="6">
                  <c:v>4.9999999999999822E-2</c:v>
                </c:pt>
                <c:pt idx="7">
                  <c:v>4.0000000000000036E-2</c:v>
                </c:pt>
                <c:pt idx="8">
                  <c:v>4.0000000000000036E-2</c:v>
                </c:pt>
                <c:pt idx="9">
                  <c:v>4.9999999999999822E-2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64-49D0-9180-37F8AB8BE628}"/>
            </c:ext>
          </c:extLst>
        </c:ser>
        <c:ser>
          <c:idx val="2"/>
          <c:order val="2"/>
          <c:tx>
            <c:strRef>
              <c:f>Лист1!$P$4</c:f>
              <c:strCache>
                <c:ptCount val="1"/>
                <c:pt idx="0">
                  <c:v>КЧЧОК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Лист1!$R$1:$AA$1</c:f>
              <c:strCache>
                <c:ptCount val="10"/>
                <c:pt idx="0">
                  <c:v>Замер 1</c:v>
                </c:pt>
                <c:pt idx="1">
                  <c:v>Замер 2</c:v>
                </c:pt>
                <c:pt idx="2">
                  <c:v>Замер 3</c:v>
                </c:pt>
                <c:pt idx="3">
                  <c:v>Замер 4</c:v>
                </c:pt>
                <c:pt idx="4">
                  <c:v>Замер 5</c:v>
                </c:pt>
                <c:pt idx="5">
                  <c:v>Замер 6</c:v>
                </c:pt>
                <c:pt idx="6">
                  <c:v>Замер 7</c:v>
                </c:pt>
                <c:pt idx="7">
                  <c:v>Замер 8</c:v>
                </c:pt>
                <c:pt idx="8">
                  <c:v>Замер 9</c:v>
                </c:pt>
                <c:pt idx="9">
                  <c:v>Замер 10</c:v>
                </c:pt>
              </c:strCache>
            </c:strRef>
          </c:cat>
          <c:val>
            <c:numRef>
              <c:f>Лист1!$R$4:$AA$4</c:f>
              <c:numCache>
                <c:formatCode>General</c:formatCode>
                <c:ptCount val="10"/>
                <c:pt idx="0">
                  <c:v>-2.9000000000000057</c:v>
                </c:pt>
                <c:pt idx="1">
                  <c:v>-0.5</c:v>
                </c:pt>
                <c:pt idx="2">
                  <c:v>-1.4000000000000057</c:v>
                </c:pt>
                <c:pt idx="3">
                  <c:v>-0.70000000000000284</c:v>
                </c:pt>
                <c:pt idx="4">
                  <c:v>-0.5</c:v>
                </c:pt>
                <c:pt idx="5">
                  <c:v>-1.2999999999999972</c:v>
                </c:pt>
                <c:pt idx="6">
                  <c:v>-0.40000000000000568</c:v>
                </c:pt>
                <c:pt idx="7">
                  <c:v>-0.5</c:v>
                </c:pt>
                <c:pt idx="8">
                  <c:v>-0.70000000000000284</c:v>
                </c:pt>
                <c:pt idx="9">
                  <c:v>-9.9999999999994316E-2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64-49D0-9180-37F8AB8BE628}"/>
            </c:ext>
          </c:extLst>
        </c:ser>
        <c:ser>
          <c:idx val="3"/>
          <c:order val="3"/>
          <c:tx>
            <c:strRef>
              <c:f>Лист1!$P$5</c:f>
              <c:strCache>
                <c:ptCount val="1"/>
                <c:pt idx="0">
                  <c:v>СКФЗ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Лист1!$R$1:$AA$1</c:f>
              <c:strCache>
                <c:ptCount val="10"/>
                <c:pt idx="0">
                  <c:v>Замер 1</c:v>
                </c:pt>
                <c:pt idx="1">
                  <c:v>Замер 2</c:v>
                </c:pt>
                <c:pt idx="2">
                  <c:v>Замер 3</c:v>
                </c:pt>
                <c:pt idx="3">
                  <c:v>Замер 4</c:v>
                </c:pt>
                <c:pt idx="4">
                  <c:v>Замер 5</c:v>
                </c:pt>
                <c:pt idx="5">
                  <c:v>Замер 6</c:v>
                </c:pt>
                <c:pt idx="6">
                  <c:v>Замер 7</c:v>
                </c:pt>
                <c:pt idx="7">
                  <c:v>Замер 8</c:v>
                </c:pt>
                <c:pt idx="8">
                  <c:v>Замер 9</c:v>
                </c:pt>
                <c:pt idx="9">
                  <c:v>Замер 10</c:v>
                </c:pt>
              </c:strCache>
            </c:strRef>
          </c:cat>
          <c:val>
            <c:numRef>
              <c:f>Лист1!$R$5:$AA$5</c:f>
              <c:numCache>
                <c:formatCode>General</c:formatCode>
                <c:ptCount val="10"/>
                <c:pt idx="0">
                  <c:v>-0.29999999999995453</c:v>
                </c:pt>
                <c:pt idx="1">
                  <c:v>-0.20000000000004547</c:v>
                </c:pt>
                <c:pt idx="2">
                  <c:v>0.29999999999995453</c:v>
                </c:pt>
                <c:pt idx="3">
                  <c:v>0.20000000000004547</c:v>
                </c:pt>
                <c:pt idx="4">
                  <c:v>-0.20000000000004547</c:v>
                </c:pt>
                <c:pt idx="5">
                  <c:v>-0.5</c:v>
                </c:pt>
                <c:pt idx="6">
                  <c:v>0.10000000000002274</c:v>
                </c:pt>
                <c:pt idx="7">
                  <c:v>-0.10000000000002274</c:v>
                </c:pt>
                <c:pt idx="8">
                  <c:v>0.29999999999995453</c:v>
                </c:pt>
                <c:pt idx="9">
                  <c:v>0.39999999999997726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64-49D0-9180-37F8AB8BE628}"/>
            </c:ext>
          </c:extLst>
        </c:ser>
        <c:ser>
          <c:idx val="4"/>
          <c:order val="4"/>
          <c:tx>
            <c:strRef>
              <c:f>Лист1!$P$6</c:f>
              <c:strCache>
                <c:ptCount val="1"/>
                <c:pt idx="0">
                  <c:v>СЧГК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Лист1!$R$1:$AA$1</c:f>
              <c:strCache>
                <c:ptCount val="10"/>
                <c:pt idx="0">
                  <c:v>Замер 1</c:v>
                </c:pt>
                <c:pt idx="1">
                  <c:v>Замер 2</c:v>
                </c:pt>
                <c:pt idx="2">
                  <c:v>Замер 3</c:v>
                </c:pt>
                <c:pt idx="3">
                  <c:v>Замер 4</c:v>
                </c:pt>
                <c:pt idx="4">
                  <c:v>Замер 5</c:v>
                </c:pt>
                <c:pt idx="5">
                  <c:v>Замер 6</c:v>
                </c:pt>
                <c:pt idx="6">
                  <c:v>Замер 7</c:v>
                </c:pt>
                <c:pt idx="7">
                  <c:v>Замер 8</c:v>
                </c:pt>
                <c:pt idx="8">
                  <c:v>Замер 9</c:v>
                </c:pt>
                <c:pt idx="9">
                  <c:v>Замер 10</c:v>
                </c:pt>
              </c:strCache>
            </c:strRef>
          </c:cat>
          <c:val>
            <c:numRef>
              <c:f>Лист1!$R$6:$AA$6</c:f>
              <c:numCache>
                <c:formatCode>General</c:formatCode>
                <c:ptCount val="10"/>
                <c:pt idx="0">
                  <c:v>0.59999999999999432</c:v>
                </c:pt>
                <c:pt idx="1">
                  <c:v>0.20000000000000284</c:v>
                </c:pt>
                <c:pt idx="2">
                  <c:v>0.5</c:v>
                </c:pt>
                <c:pt idx="3">
                  <c:v>-0.20000000000000284</c:v>
                </c:pt>
                <c:pt idx="4">
                  <c:v>9.9999999999994316E-2</c:v>
                </c:pt>
                <c:pt idx="5">
                  <c:v>-0.40000000000000568</c:v>
                </c:pt>
                <c:pt idx="6">
                  <c:v>-0.20000000000000284</c:v>
                </c:pt>
                <c:pt idx="7">
                  <c:v>0.20000000000000284</c:v>
                </c:pt>
                <c:pt idx="8">
                  <c:v>0.40000000000000568</c:v>
                </c:pt>
                <c:pt idx="9">
                  <c:v>-0.29999999999999716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764-49D0-9180-37F8AB8BE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4354143"/>
        <c:axId val="664355103"/>
      </c:barChart>
      <c:catAx>
        <c:axId val="664354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4355103"/>
        <c:crosses val="autoZero"/>
        <c:auto val="1"/>
        <c:lblAlgn val="ctr"/>
        <c:lblOffset val="100"/>
        <c:noMultiLvlLbl val="0"/>
      </c:catAx>
      <c:valAx>
        <c:axId val="664355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4354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Второй мультиметр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Лист1!$P$10</c:f>
              <c:strCache>
                <c:ptCount val="1"/>
                <c:pt idx="0">
                  <c:v>2К2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Лист1!$R$9:$AA$9</c:f>
              <c:strCache>
                <c:ptCount val="10"/>
                <c:pt idx="0">
                  <c:v>Замер 1</c:v>
                </c:pt>
                <c:pt idx="1">
                  <c:v>Замер 2</c:v>
                </c:pt>
                <c:pt idx="2">
                  <c:v>Замер 3</c:v>
                </c:pt>
                <c:pt idx="3">
                  <c:v>Замер 4</c:v>
                </c:pt>
                <c:pt idx="4">
                  <c:v>Замер 5</c:v>
                </c:pt>
                <c:pt idx="5">
                  <c:v>Замер 6</c:v>
                </c:pt>
                <c:pt idx="6">
                  <c:v>Замер 7</c:v>
                </c:pt>
                <c:pt idx="7">
                  <c:v>Замер 8</c:v>
                </c:pt>
                <c:pt idx="8">
                  <c:v>Замер 9</c:v>
                </c:pt>
                <c:pt idx="9">
                  <c:v>Замер 10</c:v>
                </c:pt>
              </c:strCache>
            </c:strRef>
          </c:cat>
          <c:val>
            <c:numRef>
              <c:f>Лист1!$R$10:$AA$10</c:f>
              <c:numCache>
                <c:formatCode>General</c:formatCode>
                <c:ptCount val="10"/>
                <c:pt idx="0">
                  <c:v>9.9999999999997868E-3</c:v>
                </c:pt>
                <c:pt idx="1">
                  <c:v>9.9999999999997868E-3</c:v>
                </c:pt>
                <c:pt idx="2">
                  <c:v>0</c:v>
                </c:pt>
                <c:pt idx="3">
                  <c:v>9.9999999999997868E-3</c:v>
                </c:pt>
                <c:pt idx="4">
                  <c:v>2.0000000000000018E-2</c:v>
                </c:pt>
                <c:pt idx="5">
                  <c:v>9.9999999999997868E-3</c:v>
                </c:pt>
                <c:pt idx="6">
                  <c:v>0</c:v>
                </c:pt>
                <c:pt idx="7">
                  <c:v>9.9999999999997868E-3</c:v>
                </c:pt>
                <c:pt idx="8">
                  <c:v>9.9999999999997868E-3</c:v>
                </c:pt>
                <c:pt idx="9">
                  <c:v>2.0000000000000018E-2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DD-4615-9F05-2E0B6375BB75}"/>
            </c:ext>
          </c:extLst>
        </c:ser>
        <c:ser>
          <c:idx val="1"/>
          <c:order val="1"/>
          <c:tx>
            <c:strRef>
              <c:f>Лист1!$P$11</c:f>
              <c:strCache>
                <c:ptCount val="1"/>
                <c:pt idx="0">
                  <c:v>6К8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Лист1!$R$9:$AA$9</c:f>
              <c:strCache>
                <c:ptCount val="10"/>
                <c:pt idx="0">
                  <c:v>Замер 1</c:v>
                </c:pt>
                <c:pt idx="1">
                  <c:v>Замер 2</c:v>
                </c:pt>
                <c:pt idx="2">
                  <c:v>Замер 3</c:v>
                </c:pt>
                <c:pt idx="3">
                  <c:v>Замер 4</c:v>
                </c:pt>
                <c:pt idx="4">
                  <c:v>Замер 5</c:v>
                </c:pt>
                <c:pt idx="5">
                  <c:v>Замер 6</c:v>
                </c:pt>
                <c:pt idx="6">
                  <c:v>Замер 7</c:v>
                </c:pt>
                <c:pt idx="7">
                  <c:v>Замер 8</c:v>
                </c:pt>
                <c:pt idx="8">
                  <c:v>Замер 9</c:v>
                </c:pt>
                <c:pt idx="9">
                  <c:v>Замер 10</c:v>
                </c:pt>
              </c:strCache>
            </c:strRef>
          </c:cat>
          <c:val>
            <c:numRef>
              <c:f>Лист1!$R$11:$AA$11</c:f>
              <c:numCache>
                <c:formatCode>General</c:formatCode>
                <c:ptCount val="10"/>
                <c:pt idx="0">
                  <c:v>8.9999999999999858E-2</c:v>
                </c:pt>
                <c:pt idx="1">
                  <c:v>8.0000000000000071E-2</c:v>
                </c:pt>
                <c:pt idx="2">
                  <c:v>8.0000000000000071E-2</c:v>
                </c:pt>
                <c:pt idx="3">
                  <c:v>7.0000000000000284E-2</c:v>
                </c:pt>
                <c:pt idx="4">
                  <c:v>9.9999999999997868E-3</c:v>
                </c:pt>
                <c:pt idx="5">
                  <c:v>7.0000000000000284E-2</c:v>
                </c:pt>
                <c:pt idx="6">
                  <c:v>8.0000000000000071E-2</c:v>
                </c:pt>
                <c:pt idx="7">
                  <c:v>7.0000000000000284E-2</c:v>
                </c:pt>
                <c:pt idx="8">
                  <c:v>8.9999999999999858E-2</c:v>
                </c:pt>
                <c:pt idx="9">
                  <c:v>8.0000000000000071E-2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DD-4615-9F05-2E0B6375BB75}"/>
            </c:ext>
          </c:extLst>
        </c:ser>
        <c:ser>
          <c:idx val="2"/>
          <c:order val="2"/>
          <c:tx>
            <c:strRef>
              <c:f>Лист1!$P$12</c:f>
              <c:strCache>
                <c:ptCount val="1"/>
                <c:pt idx="0">
                  <c:v>КЧЧОК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Лист1!$R$9:$AA$9</c:f>
              <c:strCache>
                <c:ptCount val="10"/>
                <c:pt idx="0">
                  <c:v>Замер 1</c:v>
                </c:pt>
                <c:pt idx="1">
                  <c:v>Замер 2</c:v>
                </c:pt>
                <c:pt idx="2">
                  <c:v>Замер 3</c:v>
                </c:pt>
                <c:pt idx="3">
                  <c:v>Замер 4</c:v>
                </c:pt>
                <c:pt idx="4">
                  <c:v>Замер 5</c:v>
                </c:pt>
                <c:pt idx="5">
                  <c:v>Замер 6</c:v>
                </c:pt>
                <c:pt idx="6">
                  <c:v>Замер 7</c:v>
                </c:pt>
                <c:pt idx="7">
                  <c:v>Замер 8</c:v>
                </c:pt>
                <c:pt idx="8">
                  <c:v>Замер 9</c:v>
                </c:pt>
                <c:pt idx="9">
                  <c:v>Замер 10</c:v>
                </c:pt>
              </c:strCache>
            </c:strRef>
          </c:cat>
          <c:val>
            <c:numRef>
              <c:f>Лист1!$R$12:$AA$12</c:f>
              <c:numCache>
                <c:formatCode>General</c:formatCode>
                <c:ptCount val="10"/>
                <c:pt idx="0">
                  <c:v>0.79999999999999716</c:v>
                </c:pt>
                <c:pt idx="1">
                  <c:v>-0.5</c:v>
                </c:pt>
                <c:pt idx="2">
                  <c:v>-0.29999999999999716</c:v>
                </c:pt>
                <c:pt idx="3">
                  <c:v>-0.29999999999999716</c:v>
                </c:pt>
                <c:pt idx="4">
                  <c:v>0.20000000000000284</c:v>
                </c:pt>
                <c:pt idx="5">
                  <c:v>0.5</c:v>
                </c:pt>
                <c:pt idx="6">
                  <c:v>-0.20000000000000284</c:v>
                </c:pt>
                <c:pt idx="7">
                  <c:v>-0.29999999999999716</c:v>
                </c:pt>
                <c:pt idx="8">
                  <c:v>-0.20000000000000284</c:v>
                </c:pt>
                <c:pt idx="9">
                  <c:v>0.20000000000000284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DD-4615-9F05-2E0B6375BB75}"/>
            </c:ext>
          </c:extLst>
        </c:ser>
        <c:ser>
          <c:idx val="3"/>
          <c:order val="3"/>
          <c:tx>
            <c:strRef>
              <c:f>Лист1!$P$13</c:f>
              <c:strCache>
                <c:ptCount val="1"/>
                <c:pt idx="0">
                  <c:v>СКФЗ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Лист1!$R$9:$AA$9</c:f>
              <c:strCache>
                <c:ptCount val="10"/>
                <c:pt idx="0">
                  <c:v>Замер 1</c:v>
                </c:pt>
                <c:pt idx="1">
                  <c:v>Замер 2</c:v>
                </c:pt>
                <c:pt idx="2">
                  <c:v>Замер 3</c:v>
                </c:pt>
                <c:pt idx="3">
                  <c:v>Замер 4</c:v>
                </c:pt>
                <c:pt idx="4">
                  <c:v>Замер 5</c:v>
                </c:pt>
                <c:pt idx="5">
                  <c:v>Замер 6</c:v>
                </c:pt>
                <c:pt idx="6">
                  <c:v>Замер 7</c:v>
                </c:pt>
                <c:pt idx="7">
                  <c:v>Замер 8</c:v>
                </c:pt>
                <c:pt idx="8">
                  <c:v>Замер 9</c:v>
                </c:pt>
                <c:pt idx="9">
                  <c:v>Замер 10</c:v>
                </c:pt>
              </c:strCache>
            </c:strRef>
          </c:cat>
          <c:val>
            <c:numRef>
              <c:f>Лист1!$R$13:$AA$13</c:f>
              <c:numCache>
                <c:formatCode>General</c:formatCode>
                <c:ptCount val="10"/>
                <c:pt idx="0">
                  <c:v>0.20000000000004547</c:v>
                </c:pt>
                <c:pt idx="1">
                  <c:v>-0.20000000000004547</c:v>
                </c:pt>
                <c:pt idx="2">
                  <c:v>0.39999999999997726</c:v>
                </c:pt>
                <c:pt idx="3">
                  <c:v>0.10000000000002274</c:v>
                </c:pt>
                <c:pt idx="4">
                  <c:v>-0.10000000000002274</c:v>
                </c:pt>
                <c:pt idx="5">
                  <c:v>0.20000000000004547</c:v>
                </c:pt>
                <c:pt idx="6">
                  <c:v>0</c:v>
                </c:pt>
                <c:pt idx="7">
                  <c:v>-0.29999999999995453</c:v>
                </c:pt>
                <c:pt idx="8">
                  <c:v>-0.20000000000004547</c:v>
                </c:pt>
                <c:pt idx="9">
                  <c:v>0.20000000000004547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BDD-4615-9F05-2E0B6375BB75}"/>
            </c:ext>
          </c:extLst>
        </c:ser>
        <c:ser>
          <c:idx val="4"/>
          <c:order val="4"/>
          <c:tx>
            <c:strRef>
              <c:f>Лист1!$P$14</c:f>
              <c:strCache>
                <c:ptCount val="1"/>
                <c:pt idx="0">
                  <c:v>СЧГК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Лист1!$R$9:$AA$9</c:f>
              <c:strCache>
                <c:ptCount val="10"/>
                <c:pt idx="0">
                  <c:v>Замер 1</c:v>
                </c:pt>
                <c:pt idx="1">
                  <c:v>Замер 2</c:v>
                </c:pt>
                <c:pt idx="2">
                  <c:v>Замер 3</c:v>
                </c:pt>
                <c:pt idx="3">
                  <c:v>Замер 4</c:v>
                </c:pt>
                <c:pt idx="4">
                  <c:v>Замер 5</c:v>
                </c:pt>
                <c:pt idx="5">
                  <c:v>Замер 6</c:v>
                </c:pt>
                <c:pt idx="6">
                  <c:v>Замер 7</c:v>
                </c:pt>
                <c:pt idx="7">
                  <c:v>Замер 8</c:v>
                </c:pt>
                <c:pt idx="8">
                  <c:v>Замер 9</c:v>
                </c:pt>
                <c:pt idx="9">
                  <c:v>Замер 10</c:v>
                </c:pt>
              </c:strCache>
            </c:strRef>
          </c:cat>
          <c:val>
            <c:numRef>
              <c:f>Лист1!$R$14:$AA$14</c:f>
              <c:numCache>
                <c:formatCode>General</c:formatCode>
                <c:ptCount val="10"/>
                <c:pt idx="0">
                  <c:v>0.70000000000000284</c:v>
                </c:pt>
                <c:pt idx="1">
                  <c:v>0.5</c:v>
                </c:pt>
                <c:pt idx="2">
                  <c:v>0.5</c:v>
                </c:pt>
                <c:pt idx="3">
                  <c:v>0.20000000000000284</c:v>
                </c:pt>
                <c:pt idx="4">
                  <c:v>-0.20000000000000284</c:v>
                </c:pt>
                <c:pt idx="5">
                  <c:v>0.59999999999999432</c:v>
                </c:pt>
                <c:pt idx="6">
                  <c:v>0.20000000000000284</c:v>
                </c:pt>
                <c:pt idx="7">
                  <c:v>-9.9999999999994316E-2</c:v>
                </c:pt>
                <c:pt idx="8">
                  <c:v>0.40000000000000568</c:v>
                </c:pt>
                <c:pt idx="9">
                  <c:v>0.59999999999999432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BDD-4615-9F05-2E0B6375B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47169983"/>
        <c:axId val="240137727"/>
      </c:barChart>
      <c:catAx>
        <c:axId val="247169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40137727"/>
        <c:crosses val="autoZero"/>
        <c:auto val="1"/>
        <c:lblAlgn val="ctr"/>
        <c:lblOffset val="100"/>
        <c:noMultiLvlLbl val="0"/>
      </c:catAx>
      <c:valAx>
        <c:axId val="24013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47169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179613</xdr:rowOff>
    </xdr:from>
    <xdr:to>
      <xdr:col>10</xdr:col>
      <xdr:colOff>10886</xdr:colOff>
      <xdr:row>33</xdr:row>
      <xdr:rowOff>185056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6AB0D209-006F-CC92-9E64-5969B8BF8B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587827</xdr:colOff>
      <xdr:row>15</xdr:row>
      <xdr:rowOff>27213</xdr:rowOff>
    </xdr:from>
    <xdr:to>
      <xdr:col>22</xdr:col>
      <xdr:colOff>609598</xdr:colOff>
      <xdr:row>34</xdr:row>
      <xdr:rowOff>32656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C8A11B91-69A8-BD90-3EAA-FA4402E8DB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anatsio\Downloads\Telegram%20Desktop\606-22_&#1044;&#1077;&#1084;&#1100;&#1103;&#1085;&#1094;&#1077;&#1074;&#1042;&#1042;_&#1051;&#1072;&#1073;4.xlsx" TargetMode="External"/><Relationship Id="rId1" Type="http://schemas.openxmlformats.org/officeDocument/2006/relationships/externalLinkPath" Target="file:///C:\Users\Fanatsio\Downloads\Telegram%20Desktop\606-22_&#1044;&#1077;&#1084;&#1100;&#1103;&#1085;&#1094;&#1077;&#1074;&#1042;&#1042;_&#1051;&#1072;&#1073;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Лист1"/>
    </sheetNames>
    <sheetDataSet>
      <sheetData sheetId="0">
        <row r="1">
          <cell r="R1" t="str">
            <v>Замер 1</v>
          </cell>
          <cell r="S1" t="str">
            <v>Замер 2</v>
          </cell>
          <cell r="T1" t="str">
            <v>Замер 3</v>
          </cell>
          <cell r="U1" t="str">
            <v>Замер 4</v>
          </cell>
          <cell r="V1" t="str">
            <v>Замер 5</v>
          </cell>
          <cell r="W1" t="str">
            <v>Замер 6</v>
          </cell>
          <cell r="X1" t="str">
            <v>Замер 7</v>
          </cell>
          <cell r="Y1" t="str">
            <v>Замер 8</v>
          </cell>
          <cell r="Z1" t="str">
            <v>Замер 9</v>
          </cell>
          <cell r="AA1" t="str">
            <v>Замер 10</v>
          </cell>
        </row>
        <row r="2">
          <cell r="Q2" t="str">
            <v>1,5кОМ</v>
          </cell>
          <cell r="R2">
            <v>4.0000000000000036E-2</v>
          </cell>
          <cell r="S2">
            <v>3.0000000000000027E-2</v>
          </cell>
          <cell r="T2">
            <v>2.0000000000000018E-2</v>
          </cell>
          <cell r="U2">
            <v>0</v>
          </cell>
          <cell r="V2">
            <v>-1.0000000000000009E-2</v>
          </cell>
          <cell r="W2">
            <v>1.0000000000000009E-2</v>
          </cell>
          <cell r="X2">
            <v>-2.0000000000000018E-2</v>
          </cell>
          <cell r="Y2">
            <v>0</v>
          </cell>
          <cell r="Z2">
            <v>2.0000000000000018E-2</v>
          </cell>
          <cell r="AA2">
            <v>-3.0000000000000027E-2</v>
          </cell>
        </row>
        <row r="3">
          <cell r="Q3" t="str">
            <v>56кОМ</v>
          </cell>
          <cell r="R3">
            <v>0.79999999999999716</v>
          </cell>
          <cell r="S3">
            <v>2</v>
          </cell>
          <cell r="T3">
            <v>0.79999999999999716</v>
          </cell>
          <cell r="U3">
            <v>0.5</v>
          </cell>
          <cell r="V3">
            <v>-1.5</v>
          </cell>
          <cell r="W3">
            <v>0.79999999999999716</v>
          </cell>
          <cell r="X3">
            <v>2</v>
          </cell>
          <cell r="Y3">
            <v>0.79999999999999716</v>
          </cell>
          <cell r="Z3">
            <v>-1.5</v>
          </cell>
          <cell r="AA3">
            <v>1.7999999999999972</v>
          </cell>
        </row>
        <row r="4">
          <cell r="Q4" t="str">
            <v>31ГОм</v>
          </cell>
        </row>
        <row r="5">
          <cell r="Q5" t="str">
            <v>5,1кОМ</v>
          </cell>
          <cell r="R5">
            <v>-2.9999999999999361E-2</v>
          </cell>
          <cell r="S5">
            <v>-6.9999999999999396E-2</v>
          </cell>
          <cell r="T5">
            <v>-0.19999999999999929</v>
          </cell>
          <cell r="U5">
            <v>0.1800000000000006</v>
          </cell>
          <cell r="V5">
            <v>-6.9999999999999396E-2</v>
          </cell>
          <cell r="W5">
            <v>2.0000000000000462E-2</v>
          </cell>
          <cell r="X5">
            <v>-9.9999999999999645E-2</v>
          </cell>
          <cell r="Y5">
            <v>-0.11999999999999922</v>
          </cell>
          <cell r="Z5">
            <v>8.0000000000000071E-2</v>
          </cell>
          <cell r="AA5">
            <v>-4.0000000000000036E-2</v>
          </cell>
        </row>
        <row r="6">
          <cell r="Q6" t="str">
            <v>10кОМ</v>
          </cell>
          <cell r="R6">
            <v>0.30000000000000071</v>
          </cell>
          <cell r="S6">
            <v>0.19999999999999929</v>
          </cell>
          <cell r="T6">
            <v>0.15000000000000036</v>
          </cell>
          <cell r="U6">
            <v>0.40000000000000036</v>
          </cell>
          <cell r="V6">
            <v>0.38000000000000078</v>
          </cell>
          <cell r="W6">
            <v>0.22000000000000064</v>
          </cell>
          <cell r="X6">
            <v>0.3100000000000005</v>
          </cell>
          <cell r="Y6">
            <v>0.26999999999999957</v>
          </cell>
          <cell r="Z6">
            <v>0.17999999999999972</v>
          </cell>
          <cell r="AA6">
            <v>0.34999999999999964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4"/>
  <sheetViews>
    <sheetView tabSelected="1" topLeftCell="C9" zoomScaleNormal="100" workbookViewId="0">
      <selection activeCell="M27" sqref="M27"/>
    </sheetView>
  </sheetViews>
  <sheetFormatPr defaultRowHeight="14.4" x14ac:dyDescent="0.3"/>
  <sheetData>
    <row r="1" spans="1:27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/>
      <c r="O1" s="1" t="s">
        <v>0</v>
      </c>
      <c r="P1" s="1" t="s">
        <v>1</v>
      </c>
      <c r="Q1" s="1" t="s">
        <v>2</v>
      </c>
      <c r="R1" s="1" t="s">
        <v>3</v>
      </c>
      <c r="S1" s="1" t="s">
        <v>4</v>
      </c>
      <c r="T1" s="1" t="s">
        <v>5</v>
      </c>
      <c r="U1" s="1" t="s">
        <v>6</v>
      </c>
      <c r="V1" s="1" t="s">
        <v>7</v>
      </c>
      <c r="W1" s="1" t="s">
        <v>8</v>
      </c>
      <c r="X1" s="1" t="s">
        <v>9</v>
      </c>
      <c r="Y1" s="1" t="s">
        <v>10</v>
      </c>
      <c r="Z1" s="1" t="s">
        <v>11</v>
      </c>
      <c r="AA1" s="1" t="s">
        <v>12</v>
      </c>
    </row>
    <row r="2" spans="1:27" ht="15.6" x14ac:dyDescent="0.3">
      <c r="A2" s="1">
        <v>1</v>
      </c>
      <c r="B2" s="1" t="s">
        <v>13</v>
      </c>
      <c r="C2" s="1" t="s">
        <v>14</v>
      </c>
      <c r="D2" s="1">
        <v>2.2200000000000002</v>
      </c>
      <c r="E2" s="1">
        <v>2.19</v>
      </c>
      <c r="F2" s="1">
        <v>2.2000000000000002</v>
      </c>
      <c r="G2" s="1">
        <v>2.21</v>
      </c>
      <c r="H2" s="1">
        <v>2.21</v>
      </c>
      <c r="I2" s="1">
        <v>2.21</v>
      </c>
      <c r="J2" s="1">
        <v>2.2000000000000002</v>
      </c>
      <c r="K2" s="1">
        <v>2.21</v>
      </c>
      <c r="L2" s="1">
        <v>2.2200000000000002</v>
      </c>
      <c r="M2" s="1">
        <v>2.21</v>
      </c>
      <c r="N2" s="2"/>
      <c r="O2" s="1">
        <v>1</v>
      </c>
      <c r="P2" s="1" t="s">
        <v>13</v>
      </c>
      <c r="Q2" s="1">
        <v>2.2000000000000002</v>
      </c>
      <c r="R2" s="1">
        <f>D2-$Q$2</f>
        <v>2.0000000000000018E-2</v>
      </c>
      <c r="S2" s="1">
        <f t="shared" ref="S2:AA2" si="0">E2-$Q$2</f>
        <v>-1.0000000000000231E-2</v>
      </c>
      <c r="T2" s="1">
        <f t="shared" si="0"/>
        <v>0</v>
      </c>
      <c r="U2" s="1">
        <f t="shared" si="0"/>
        <v>9.9999999999997868E-3</v>
      </c>
      <c r="V2" s="1">
        <f t="shared" si="0"/>
        <v>9.9999999999997868E-3</v>
      </c>
      <c r="W2" s="1">
        <f t="shared" si="0"/>
        <v>9.9999999999997868E-3</v>
      </c>
      <c r="X2" s="1">
        <f t="shared" si="0"/>
        <v>0</v>
      </c>
      <c r="Y2" s="1">
        <f t="shared" si="0"/>
        <v>9.9999999999997868E-3</v>
      </c>
      <c r="Z2" s="1">
        <f t="shared" si="0"/>
        <v>2.0000000000000018E-2</v>
      </c>
      <c r="AA2" s="1">
        <f t="shared" si="0"/>
        <v>9.9999999999997868E-3</v>
      </c>
    </row>
    <row r="3" spans="1:27" ht="15.6" x14ac:dyDescent="0.3">
      <c r="A3" s="1">
        <v>2</v>
      </c>
      <c r="B3" s="1" t="s">
        <v>15</v>
      </c>
      <c r="C3" s="1" t="s">
        <v>16</v>
      </c>
      <c r="D3" s="1">
        <v>6.85</v>
      </c>
      <c r="E3" s="1">
        <v>6.84</v>
      </c>
      <c r="F3" s="1">
        <v>6.86</v>
      </c>
      <c r="G3" s="1">
        <v>6.85</v>
      </c>
      <c r="H3" s="1">
        <v>6.84</v>
      </c>
      <c r="I3" s="1">
        <v>6.85</v>
      </c>
      <c r="J3" s="1">
        <v>6.85</v>
      </c>
      <c r="K3" s="1">
        <v>6.84</v>
      </c>
      <c r="L3" s="1">
        <v>6.84</v>
      </c>
      <c r="M3" s="1">
        <v>6.85</v>
      </c>
      <c r="N3" s="2"/>
      <c r="O3" s="1">
        <v>2</v>
      </c>
      <c r="P3" s="1" t="s">
        <v>15</v>
      </c>
      <c r="Q3" s="1">
        <v>6.8</v>
      </c>
      <c r="R3" s="1">
        <f>D3-$Q$3</f>
        <v>4.9999999999999822E-2</v>
      </c>
      <c r="S3" s="1">
        <f t="shared" ref="S3:AA3" si="1">E3-$Q$3</f>
        <v>4.0000000000000036E-2</v>
      </c>
      <c r="T3" s="1">
        <f t="shared" si="1"/>
        <v>6.0000000000000497E-2</v>
      </c>
      <c r="U3" s="1">
        <f t="shared" si="1"/>
        <v>4.9999999999999822E-2</v>
      </c>
      <c r="V3" s="1">
        <f t="shared" si="1"/>
        <v>4.0000000000000036E-2</v>
      </c>
      <c r="W3" s="1">
        <f t="shared" si="1"/>
        <v>4.9999999999999822E-2</v>
      </c>
      <c r="X3" s="1">
        <f t="shared" si="1"/>
        <v>4.9999999999999822E-2</v>
      </c>
      <c r="Y3" s="1">
        <f t="shared" si="1"/>
        <v>4.0000000000000036E-2</v>
      </c>
      <c r="Z3" s="1">
        <f t="shared" si="1"/>
        <v>4.0000000000000036E-2</v>
      </c>
      <c r="AA3" s="1">
        <f t="shared" si="1"/>
        <v>4.9999999999999822E-2</v>
      </c>
    </row>
    <row r="4" spans="1:27" ht="15.6" x14ac:dyDescent="0.3">
      <c r="A4" s="1">
        <v>3</v>
      </c>
      <c r="B4" s="1" t="s">
        <v>17</v>
      </c>
      <c r="C4" s="1" t="s">
        <v>18</v>
      </c>
      <c r="D4" s="1">
        <v>97.1</v>
      </c>
      <c r="E4" s="1">
        <v>99.5</v>
      </c>
      <c r="F4" s="1">
        <v>98.6</v>
      </c>
      <c r="G4" s="1">
        <v>99.3</v>
      </c>
      <c r="H4" s="1">
        <v>99.5</v>
      </c>
      <c r="I4" s="1">
        <v>98.7</v>
      </c>
      <c r="J4" s="1">
        <v>99.6</v>
      </c>
      <c r="K4" s="1">
        <v>99.5</v>
      </c>
      <c r="L4" s="1">
        <v>99.3</v>
      </c>
      <c r="M4" s="1">
        <v>99.9</v>
      </c>
      <c r="N4" s="2"/>
      <c r="O4" s="1">
        <v>3</v>
      </c>
      <c r="P4" s="1" t="s">
        <v>17</v>
      </c>
      <c r="Q4" s="1">
        <v>100</v>
      </c>
      <c r="R4" s="1">
        <f>D4-$Q$4</f>
        <v>-2.9000000000000057</v>
      </c>
      <c r="S4" s="1">
        <f t="shared" ref="S4:AA4" si="2">E4-$Q$4</f>
        <v>-0.5</v>
      </c>
      <c r="T4" s="1">
        <f t="shared" si="2"/>
        <v>-1.4000000000000057</v>
      </c>
      <c r="U4" s="1">
        <f t="shared" si="2"/>
        <v>-0.70000000000000284</v>
      </c>
      <c r="V4" s="1">
        <f t="shared" si="2"/>
        <v>-0.5</v>
      </c>
      <c r="W4" s="1">
        <f t="shared" si="2"/>
        <v>-1.2999999999999972</v>
      </c>
      <c r="X4" s="1">
        <f t="shared" si="2"/>
        <v>-0.40000000000000568</v>
      </c>
      <c r="Y4" s="1">
        <f t="shared" si="2"/>
        <v>-0.5</v>
      </c>
      <c r="Z4" s="1">
        <f t="shared" si="2"/>
        <v>-0.70000000000000284</v>
      </c>
      <c r="AA4" s="1">
        <f t="shared" si="2"/>
        <v>-9.9999999999994316E-2</v>
      </c>
    </row>
    <row r="5" spans="1:27" ht="15.6" x14ac:dyDescent="0.3">
      <c r="A5" s="1">
        <v>4</v>
      </c>
      <c r="B5" s="1" t="s">
        <v>19</v>
      </c>
      <c r="C5" s="1" t="s">
        <v>21</v>
      </c>
      <c r="D5" s="1">
        <v>809.7</v>
      </c>
      <c r="E5" s="1">
        <v>809.8</v>
      </c>
      <c r="F5" s="1">
        <v>810.3</v>
      </c>
      <c r="G5" s="1">
        <v>810.2</v>
      </c>
      <c r="H5" s="1">
        <v>809.8</v>
      </c>
      <c r="I5" s="1">
        <v>809.5</v>
      </c>
      <c r="J5" s="1">
        <v>810.1</v>
      </c>
      <c r="K5" s="1">
        <v>809.9</v>
      </c>
      <c r="L5" s="1">
        <v>810.3</v>
      </c>
      <c r="M5" s="1">
        <v>810.4</v>
      </c>
      <c r="N5" s="2"/>
      <c r="O5" s="1">
        <v>4</v>
      </c>
      <c r="P5" s="1" t="s">
        <v>19</v>
      </c>
      <c r="Q5" s="1">
        <v>810</v>
      </c>
      <c r="R5" s="1">
        <f>D5-$Q$5</f>
        <v>-0.29999999999995453</v>
      </c>
      <c r="S5" s="1">
        <f t="shared" ref="S5:AA5" si="3">E5-$Q$5</f>
        <v>-0.20000000000004547</v>
      </c>
      <c r="T5" s="1">
        <f t="shared" si="3"/>
        <v>0.29999999999995453</v>
      </c>
      <c r="U5" s="1">
        <f t="shared" si="3"/>
        <v>0.20000000000004547</v>
      </c>
      <c r="V5" s="1">
        <f t="shared" si="3"/>
        <v>-0.20000000000004547</v>
      </c>
      <c r="W5" s="1">
        <f t="shared" si="3"/>
        <v>-0.5</v>
      </c>
      <c r="X5" s="1">
        <f t="shared" si="3"/>
        <v>0.10000000000002274</v>
      </c>
      <c r="Y5" s="1">
        <f t="shared" si="3"/>
        <v>-0.10000000000002274</v>
      </c>
      <c r="Z5" s="1">
        <f t="shared" si="3"/>
        <v>0.29999999999995453</v>
      </c>
      <c r="AA5" s="1">
        <f t="shared" si="3"/>
        <v>0.39999999999997726</v>
      </c>
    </row>
    <row r="6" spans="1:27" ht="15.6" x14ac:dyDescent="0.3">
      <c r="A6" s="1">
        <v>5</v>
      </c>
      <c r="B6" s="1" t="s">
        <v>20</v>
      </c>
      <c r="C6" s="1" t="s">
        <v>22</v>
      </c>
      <c r="D6" s="1">
        <v>80.599999999999994</v>
      </c>
      <c r="E6" s="1">
        <v>80.2</v>
      </c>
      <c r="F6" s="1">
        <v>80.5</v>
      </c>
      <c r="G6" s="1">
        <v>79.8</v>
      </c>
      <c r="H6" s="1">
        <v>80.099999999999994</v>
      </c>
      <c r="I6" s="1">
        <v>79.599999999999994</v>
      </c>
      <c r="J6" s="1">
        <v>79.8</v>
      </c>
      <c r="K6" s="1">
        <v>80.2</v>
      </c>
      <c r="L6" s="1">
        <v>80.400000000000006</v>
      </c>
      <c r="M6" s="1">
        <v>79.7</v>
      </c>
      <c r="N6" s="2"/>
      <c r="O6" s="1">
        <v>5</v>
      </c>
      <c r="P6" s="1" t="s">
        <v>20</v>
      </c>
      <c r="Q6" s="1">
        <v>80</v>
      </c>
      <c r="R6" s="1">
        <f>D6-$Q$6</f>
        <v>0.59999999999999432</v>
      </c>
      <c r="S6" s="1">
        <f t="shared" ref="S6:AA6" si="4">E6-$Q$6</f>
        <v>0.20000000000000284</v>
      </c>
      <c r="T6" s="1">
        <f t="shared" si="4"/>
        <v>0.5</v>
      </c>
      <c r="U6" s="1">
        <f t="shared" si="4"/>
        <v>-0.20000000000000284</v>
      </c>
      <c r="V6" s="1">
        <f t="shared" si="4"/>
        <v>9.9999999999994316E-2</v>
      </c>
      <c r="W6" s="1">
        <f t="shared" si="4"/>
        <v>-0.40000000000000568</v>
      </c>
      <c r="X6" s="1">
        <f t="shared" si="4"/>
        <v>-0.20000000000000284</v>
      </c>
      <c r="Y6" s="1">
        <f t="shared" si="4"/>
        <v>0.20000000000000284</v>
      </c>
      <c r="Z6" s="1">
        <f t="shared" si="4"/>
        <v>0.40000000000000568</v>
      </c>
      <c r="AA6" s="1">
        <f t="shared" si="4"/>
        <v>-0.29999999999999716</v>
      </c>
    </row>
    <row r="7" spans="1:27" ht="15.6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6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6" x14ac:dyDescent="0.3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6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2"/>
      <c r="O9" s="1" t="s">
        <v>0</v>
      </c>
      <c r="P9" s="1" t="s">
        <v>1</v>
      </c>
      <c r="Q9" s="1" t="s">
        <v>2</v>
      </c>
      <c r="R9" s="1" t="s">
        <v>3</v>
      </c>
      <c r="S9" s="1" t="s">
        <v>4</v>
      </c>
      <c r="T9" s="1" t="s">
        <v>5</v>
      </c>
      <c r="U9" s="1" t="s">
        <v>6</v>
      </c>
      <c r="V9" s="1" t="s">
        <v>7</v>
      </c>
      <c r="W9" s="1" t="s">
        <v>8</v>
      </c>
      <c r="X9" s="1" t="s">
        <v>9</v>
      </c>
      <c r="Y9" s="1" t="s">
        <v>10</v>
      </c>
      <c r="Z9" s="1" t="s">
        <v>11</v>
      </c>
      <c r="AA9" s="1" t="s">
        <v>12</v>
      </c>
    </row>
    <row r="10" spans="1:27" ht="15.6" x14ac:dyDescent="0.3">
      <c r="A10" s="1">
        <v>1</v>
      </c>
      <c r="B10" s="1" t="s">
        <v>13</v>
      </c>
      <c r="C10" s="1" t="s">
        <v>14</v>
      </c>
      <c r="D10" s="1">
        <v>2.21</v>
      </c>
      <c r="E10" s="1">
        <v>2.21</v>
      </c>
      <c r="F10" s="1">
        <v>2.2000000000000002</v>
      </c>
      <c r="G10" s="1">
        <v>2.21</v>
      </c>
      <c r="H10" s="1">
        <v>2.2200000000000002</v>
      </c>
      <c r="I10" s="1">
        <v>2.21</v>
      </c>
      <c r="J10" s="1">
        <v>2.2000000000000002</v>
      </c>
      <c r="K10" s="1">
        <v>2.21</v>
      </c>
      <c r="L10" s="1">
        <v>2.21</v>
      </c>
      <c r="M10" s="1">
        <v>2.2200000000000002</v>
      </c>
      <c r="N10" s="2"/>
      <c r="O10" s="1">
        <v>1</v>
      </c>
      <c r="P10" s="1" t="s">
        <v>13</v>
      </c>
      <c r="Q10" s="1">
        <v>2.2000000000000002</v>
      </c>
      <c r="R10" s="1">
        <f>D10-$Q$10</f>
        <v>9.9999999999997868E-3</v>
      </c>
      <c r="S10" s="1">
        <f t="shared" ref="S10:AA10" si="5">E10-$Q$10</f>
        <v>9.9999999999997868E-3</v>
      </c>
      <c r="T10" s="1">
        <f t="shared" si="5"/>
        <v>0</v>
      </c>
      <c r="U10" s="1">
        <f t="shared" si="5"/>
        <v>9.9999999999997868E-3</v>
      </c>
      <c r="V10" s="1">
        <f t="shared" si="5"/>
        <v>2.0000000000000018E-2</v>
      </c>
      <c r="W10" s="1">
        <f t="shared" si="5"/>
        <v>9.9999999999997868E-3</v>
      </c>
      <c r="X10" s="1">
        <f t="shared" si="5"/>
        <v>0</v>
      </c>
      <c r="Y10" s="1">
        <f t="shared" si="5"/>
        <v>9.9999999999997868E-3</v>
      </c>
      <c r="Z10" s="1">
        <f t="shared" si="5"/>
        <v>9.9999999999997868E-3</v>
      </c>
      <c r="AA10" s="1">
        <f t="shared" si="5"/>
        <v>2.0000000000000018E-2</v>
      </c>
    </row>
    <row r="11" spans="1:27" ht="15.6" x14ac:dyDescent="0.3">
      <c r="A11" s="1">
        <v>2</v>
      </c>
      <c r="B11" s="1" t="s">
        <v>15</v>
      </c>
      <c r="C11" s="1" t="s">
        <v>16</v>
      </c>
      <c r="D11" s="1">
        <v>6.89</v>
      </c>
      <c r="E11" s="1">
        <v>6.88</v>
      </c>
      <c r="F11" s="1">
        <v>6.88</v>
      </c>
      <c r="G11" s="1">
        <v>6.87</v>
      </c>
      <c r="H11" s="1">
        <v>6.81</v>
      </c>
      <c r="I11" s="1">
        <v>6.87</v>
      </c>
      <c r="J11" s="1">
        <v>6.88</v>
      </c>
      <c r="K11" s="1">
        <v>6.87</v>
      </c>
      <c r="L11" s="1">
        <v>6.89</v>
      </c>
      <c r="M11" s="1">
        <v>6.88</v>
      </c>
      <c r="N11" s="2"/>
      <c r="O11" s="1">
        <v>2</v>
      </c>
      <c r="P11" s="1" t="s">
        <v>15</v>
      </c>
      <c r="Q11" s="1">
        <v>6.8</v>
      </c>
      <c r="R11" s="1">
        <f>D11-$Q$11</f>
        <v>8.9999999999999858E-2</v>
      </c>
      <c r="S11" s="1">
        <f t="shared" ref="S11:AA11" si="6">E11-$Q$11</f>
        <v>8.0000000000000071E-2</v>
      </c>
      <c r="T11" s="1">
        <f t="shared" si="6"/>
        <v>8.0000000000000071E-2</v>
      </c>
      <c r="U11" s="1">
        <f t="shared" si="6"/>
        <v>7.0000000000000284E-2</v>
      </c>
      <c r="V11" s="1">
        <f t="shared" si="6"/>
        <v>9.9999999999997868E-3</v>
      </c>
      <c r="W11" s="1">
        <f t="shared" si="6"/>
        <v>7.0000000000000284E-2</v>
      </c>
      <c r="X11" s="1">
        <f t="shared" si="6"/>
        <v>8.0000000000000071E-2</v>
      </c>
      <c r="Y11" s="1">
        <f t="shared" si="6"/>
        <v>7.0000000000000284E-2</v>
      </c>
      <c r="Z11" s="1">
        <f t="shared" si="6"/>
        <v>8.9999999999999858E-2</v>
      </c>
      <c r="AA11" s="1">
        <f t="shared" si="6"/>
        <v>8.0000000000000071E-2</v>
      </c>
    </row>
    <row r="12" spans="1:27" ht="15.6" x14ac:dyDescent="0.3">
      <c r="A12" s="1">
        <v>3</v>
      </c>
      <c r="B12" s="1" t="s">
        <v>17</v>
      </c>
      <c r="C12" s="1" t="s">
        <v>18</v>
      </c>
      <c r="D12" s="1">
        <v>100.8</v>
      </c>
      <c r="E12" s="1">
        <v>99.5</v>
      </c>
      <c r="F12" s="1">
        <v>99.7</v>
      </c>
      <c r="G12" s="1">
        <v>99.7</v>
      </c>
      <c r="H12" s="1">
        <v>100.2</v>
      </c>
      <c r="I12" s="1">
        <v>100.5</v>
      </c>
      <c r="J12" s="1">
        <v>99.8</v>
      </c>
      <c r="K12" s="1">
        <v>99.7</v>
      </c>
      <c r="L12" s="1">
        <v>99.8</v>
      </c>
      <c r="M12" s="1">
        <v>100.2</v>
      </c>
      <c r="N12" s="2"/>
      <c r="O12" s="1">
        <v>3</v>
      </c>
      <c r="P12" s="1" t="s">
        <v>17</v>
      </c>
      <c r="Q12" s="1">
        <v>100</v>
      </c>
      <c r="R12" s="1">
        <f>D12-$Q$12</f>
        <v>0.79999999999999716</v>
      </c>
      <c r="S12" s="1">
        <f t="shared" ref="S12:AA12" si="7">E12-$Q$12</f>
        <v>-0.5</v>
      </c>
      <c r="T12" s="1">
        <f t="shared" si="7"/>
        <v>-0.29999999999999716</v>
      </c>
      <c r="U12" s="1">
        <f t="shared" si="7"/>
        <v>-0.29999999999999716</v>
      </c>
      <c r="V12" s="1">
        <f t="shared" si="7"/>
        <v>0.20000000000000284</v>
      </c>
      <c r="W12" s="1">
        <f t="shared" si="7"/>
        <v>0.5</v>
      </c>
      <c r="X12" s="1">
        <f t="shared" si="7"/>
        <v>-0.20000000000000284</v>
      </c>
      <c r="Y12" s="1">
        <f t="shared" si="7"/>
        <v>-0.29999999999999716</v>
      </c>
      <c r="Z12" s="1">
        <f t="shared" si="7"/>
        <v>-0.20000000000000284</v>
      </c>
      <c r="AA12" s="1">
        <f t="shared" si="7"/>
        <v>0.20000000000000284</v>
      </c>
    </row>
    <row r="13" spans="1:27" ht="15.6" x14ac:dyDescent="0.3">
      <c r="A13" s="1">
        <v>4</v>
      </c>
      <c r="B13" s="1" t="s">
        <v>19</v>
      </c>
      <c r="C13" s="1" t="s">
        <v>21</v>
      </c>
      <c r="D13" s="1">
        <v>810.2</v>
      </c>
      <c r="E13" s="1">
        <v>809.8</v>
      </c>
      <c r="F13" s="1">
        <v>810.4</v>
      </c>
      <c r="G13" s="1">
        <v>810.1</v>
      </c>
      <c r="H13" s="1">
        <v>809.9</v>
      </c>
      <c r="I13" s="1">
        <v>810.2</v>
      </c>
      <c r="J13" s="1">
        <v>810</v>
      </c>
      <c r="K13" s="1">
        <v>809.7</v>
      </c>
      <c r="L13" s="1">
        <v>809.8</v>
      </c>
      <c r="M13" s="1">
        <v>810.2</v>
      </c>
      <c r="N13" s="2"/>
      <c r="O13" s="1">
        <v>4</v>
      </c>
      <c r="P13" s="1" t="s">
        <v>19</v>
      </c>
      <c r="Q13" s="1">
        <v>810</v>
      </c>
      <c r="R13" s="1">
        <f>D13-$Q$13</f>
        <v>0.20000000000004547</v>
      </c>
      <c r="S13" s="1">
        <f t="shared" ref="S13:AA13" si="8">E13-$Q$13</f>
        <v>-0.20000000000004547</v>
      </c>
      <c r="T13" s="1">
        <f t="shared" si="8"/>
        <v>0.39999999999997726</v>
      </c>
      <c r="U13" s="1">
        <f t="shared" si="8"/>
        <v>0.10000000000002274</v>
      </c>
      <c r="V13" s="1">
        <f t="shared" si="8"/>
        <v>-0.10000000000002274</v>
      </c>
      <c r="W13" s="1">
        <f t="shared" si="8"/>
        <v>0.20000000000004547</v>
      </c>
      <c r="X13" s="1">
        <f t="shared" si="8"/>
        <v>0</v>
      </c>
      <c r="Y13" s="1">
        <f t="shared" si="8"/>
        <v>-0.29999999999995453</v>
      </c>
      <c r="Z13" s="1">
        <f t="shared" si="8"/>
        <v>-0.20000000000004547</v>
      </c>
      <c r="AA13" s="1">
        <f t="shared" si="8"/>
        <v>0.20000000000004547</v>
      </c>
    </row>
    <row r="14" spans="1:27" ht="15.6" x14ac:dyDescent="0.3">
      <c r="A14" s="1">
        <v>5</v>
      </c>
      <c r="B14" s="1" t="s">
        <v>20</v>
      </c>
      <c r="C14" s="1" t="s">
        <v>22</v>
      </c>
      <c r="D14" s="1">
        <v>80.7</v>
      </c>
      <c r="E14" s="1">
        <v>80.5</v>
      </c>
      <c r="F14" s="1">
        <v>80.5</v>
      </c>
      <c r="G14" s="1">
        <v>80.2</v>
      </c>
      <c r="H14" s="1">
        <v>79.8</v>
      </c>
      <c r="I14" s="1">
        <v>80.599999999999994</v>
      </c>
      <c r="J14" s="1">
        <v>80.2</v>
      </c>
      <c r="K14" s="1">
        <v>79.900000000000006</v>
      </c>
      <c r="L14" s="1">
        <v>80.400000000000006</v>
      </c>
      <c r="M14" s="1">
        <v>80.599999999999994</v>
      </c>
      <c r="N14" s="2"/>
      <c r="O14" s="1">
        <v>5</v>
      </c>
      <c r="P14" s="1" t="s">
        <v>20</v>
      </c>
      <c r="Q14" s="1">
        <v>80</v>
      </c>
      <c r="R14" s="1">
        <f>D14-$Q$14</f>
        <v>0.70000000000000284</v>
      </c>
      <c r="S14" s="1">
        <f t="shared" ref="S14:AA14" si="9">E14-$Q$14</f>
        <v>0.5</v>
      </c>
      <c r="T14" s="1">
        <f t="shared" si="9"/>
        <v>0.5</v>
      </c>
      <c r="U14" s="1">
        <f t="shared" si="9"/>
        <v>0.20000000000000284</v>
      </c>
      <c r="V14" s="1">
        <f t="shared" si="9"/>
        <v>-0.20000000000000284</v>
      </c>
      <c r="W14" s="1">
        <f t="shared" si="9"/>
        <v>0.59999999999999432</v>
      </c>
      <c r="X14" s="1">
        <f t="shared" si="9"/>
        <v>0.20000000000000284</v>
      </c>
      <c r="Y14" s="1">
        <f t="shared" si="9"/>
        <v>-9.9999999999994316E-2</v>
      </c>
      <c r="Z14" s="1">
        <f t="shared" si="9"/>
        <v>0.40000000000000568</v>
      </c>
      <c r="AA14" s="1">
        <f t="shared" si="9"/>
        <v>0.59999999999999432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Fanatsio PC</dc:creator>
  <cp:lastModifiedBy>Fanatsio PC</cp:lastModifiedBy>
  <dcterms:created xsi:type="dcterms:W3CDTF">2015-06-05T18:19:34Z</dcterms:created>
  <dcterms:modified xsi:type="dcterms:W3CDTF">2026-03-06T15:46:56Z</dcterms:modified>
</cp:coreProperties>
</file>